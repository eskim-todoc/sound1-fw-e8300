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df452c34644704" /></Relationships>
</file>

<file path=xl/workbook.xml><?xml version="1.0" encoding="utf-8"?>
<x:workbook xmlns:x="http://schemas.openxmlformats.org/spreadsheetml/2006/main">
  <x:sheets>
    <x:sheet xmlns:r="http://schemas.openxmlformats.org/officeDocument/2006/relationships" name="Sound1 입력 음압 대비 ADC 출력" sheetId="1" r:id="R7884a375ad0145dc"/>
    <x:sheet xmlns:r="http://schemas.openxmlformats.org/officeDocument/2006/relationships" name="산출 근거" sheetId="2" r:id="R6502c9f4d3174de6"/>
    <x:sheet xmlns:r="http://schemas.openxmlformats.org/officeDocument/2006/relationships" name="APx -8.293 dB 보정" sheetId="4" r:id="R170730913cb44ae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0"/>
    <x:numFmt numFmtId="201" formatCode="#,##0"/>
  </x:numFmts>
  <x:fonts count="17">
    <x:font>
      <x:sz val="11"/>
      <x:color theme="1"/>
      <x:name val="Calibri"/>
    </x:font>
    <x:font>
      <x:b/>
      <x:sz val="14"/>
    </x:font>
    <x:font>
      <x:b/>
      <x:sz val="10"/>
    </x:font>
    <x:font>
      <x:sz val="10"/>
    </x:font>
    <x:font>
      <x:b/>
      <x:sz val="12"/>
    </x:font>
    <x:font>
      <x:b/>
    </x:font>
    <x:font>
      <x:sz val="10"/>
      <x:color rgb="FF222222"/>
      <x:name val="맑은 고딕"/>
    </x:font>
    <x:font>
      <x:b/>
      <x:sz val="14"/>
      <x:color rgb="FFFFFFFF"/>
      <x:name val="맑은 고딕"/>
    </x:font>
    <x:font>
      <x:b/>
      <x:sz val="10"/>
      <x:color rgb="FFC00000"/>
      <x:name val="맑은 고딕"/>
    </x:font>
    <x:font>
      <x:b/>
      <x:sz val="10"/>
      <x:color rgb="FF222222"/>
      <x:name val="맑은 고딕"/>
    </x:font>
    <x:font>
      <x:sz val="10"/>
      <x:color rgb="FF666666"/>
      <x:name val="맑은 고딕"/>
    </x:font>
    <x:font>
      <x:b/>
      <x:sz val="10"/>
      <x:color rgb="FF375623"/>
      <x:name val="맑은 고딕"/>
    </x:font>
    <x:font>
      <x:sz val="9"/>
      <x:color rgb="FF9C0006"/>
      <x:name val="맑은 고딕"/>
    </x:font>
    <x:font>
      <x:b/>
      <x:sz val="9"/>
      <x:color rgb="FF222222"/>
      <x:name val="맑은 고딕"/>
    </x:font>
    <x:font>
      <x:sz val="9"/>
      <x:color rgb="FF222222"/>
      <x:name val="맑은 고딕"/>
    </x:font>
    <x:font>
      <x:b/>
      <x:sz val="9"/>
      <x:color rgb="FF375623"/>
      <x:name val="맑은 고딕"/>
    </x:font>
    <x:font>
      <x:b/>
      <x:sz val="9"/>
      <x:color rgb="FF9C0006"/>
      <x:name val="맑은 고딕"/>
    </x:font>
  </x:fonts>
  <x:fills count="17">
    <x:fill>
      <x:patternFill patternType="none"/>
    </x:fill>
    <x:fill>
      <x:patternFill patternType="gray125"/>
    </x:fill>
    <x:fill>
      <x:patternFill patternType="solid">
        <x:fgColor rgb="FFD9D9D9"/>
      </x:patternFill>
    </x:fill>
    <x:fill>
      <x:patternFill patternType="solid">
        <x:fgColor rgb="FF404040"/>
      </x:patternFill>
    </x:fill>
    <x:fill>
      <x:patternFill patternType="solid">
        <x:fgColor rgb="FFD9D9D9"/>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FCE4D6"/>
      </x:patternFill>
    </x:fill>
    <x:fill>
      <x:patternFill patternType="solid">
        <x:fgColor rgb="FFF7F7F7"/>
      </x:patternFill>
    </x:fill>
    <x:fill>
      <x:patternFill patternType="solid">
        <x:fgColor rgb="FF404040"/>
      </x:patternFill>
    </x:fill>
    <x:fill>
      <x:patternFill patternType="solid">
        <x:fgColor rgb="FFD9D9D9"/>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FCE4D6"/>
      </x:patternFill>
    </x:fill>
    <x:fill>
      <x:patternFill patternType="solid">
        <x:fgColor rgb="FFF7F7F7"/>
      </x:patternFill>
    </x:fill>
  </x:fills>
  <x:borders count="29">
    <x:border/>
    <x:border>
      <x:left style="thin">
        <x:color rgb="FF999999"/>
      </x:left>
      <x:right style="thin">
        <x:color rgb="FF999999"/>
      </x:right>
      <x:top style="thin">
        <x:color rgb="FF999999"/>
      </x:top>
      <x:bottom style="thin">
        <x:color rgb="FF999999"/>
      </x:bottom>
    </x:border>
    <x:border>
      <x:left style="thin">
        <x:color rgb="FFBFBFBF"/>
      </x:left>
      <x:top style="thin">
        <x:color rgb="FFBFBFBF"/>
      </x:top>
    </x:border>
    <x:border>
      <x:top style="thin">
        <x:color rgb="FFBFBFBF"/>
      </x:top>
    </x:border>
    <x:border>
      <x:right style="thin">
        <x:color rgb="FFBFBFBF"/>
      </x:right>
      <x:top style="thin">
        <x:color rgb="FFBFBFBF"/>
      </x:top>
    </x:border>
    <x:border>
      <x:left style="thin">
        <x:color rgb="FFBFBFBF"/>
      </x:left>
      <x:bottom style="thin">
        <x:color rgb="FFBFBFBF"/>
      </x:bottom>
    </x:border>
    <x:border>
      <x:bottom style="thin">
        <x:color rgb="FFBFBFBF"/>
      </x:bottom>
    </x:border>
    <x:border>
      <x:right style="thin">
        <x:color rgb="FFBFBFBF"/>
      </x:right>
      <x:bottom style="thin">
        <x:color rgb="FFBFBFBF"/>
      </x:bottom>
    </x:border>
    <x:border>
      <x:left style="thin">
        <x:color rgb="FFBFBFBF"/>
      </x:left>
      <x:right style="thin">
        <x:color rgb="FFBFBFBF"/>
      </x:right>
      <x:top style="thin">
        <x:color rgb="FFBFBFBF"/>
      </x:top>
      <x:bottom style="thin">
        <x:color rgb="FFBFBFBF"/>
      </x:bottom>
    </x:border>
    <x:border>
      <x:left style="thin">
        <x:color rgb="FFBFBFBF"/>
      </x:left>
      <x:top style="thin">
        <x:color rgb="FFBFBFBF"/>
      </x:top>
      <x:bottom style="thin">
        <x:color rgb="FFBFBFBF"/>
      </x:bottom>
    </x:border>
    <x:border>
      <x:top style="thin">
        <x:color rgb="FFBFBFBF"/>
      </x:top>
      <x:bottom style="thin">
        <x:color rgb="FFBFBFBF"/>
      </x:bottom>
    </x:border>
    <x:border>
      <x:right style="thin">
        <x:color rgb="FFBFBFBF"/>
      </x:right>
      <x:top style="thin">
        <x:color rgb="FFBFBFBF"/>
      </x:top>
      <x:bottom style="thin">
        <x:color rgb="FFBFBFBF"/>
      </x:bottom>
    </x:border>
    <x:border>
      <x:left style="thin">
        <x:color rgb="FFA9D18E"/>
      </x:left>
      <x:top style="thin">
        <x:color rgb="FFA9D18E"/>
      </x:top>
      <x:bottom style="thin">
        <x:color rgb="FFA9D18E"/>
      </x:bottom>
    </x:border>
    <x:border>
      <x:top style="thin">
        <x:color rgb="FFA9D18E"/>
      </x:top>
      <x:bottom style="thin">
        <x:color rgb="FFA9D18E"/>
      </x:bottom>
    </x:border>
    <x:border>
      <x:right style="thin">
        <x:color rgb="FFA9D18E"/>
      </x:right>
      <x:top style="thin">
        <x:color rgb="FFA9D18E"/>
      </x:top>
      <x:bottom style="thin">
        <x:color rgb="FFA9D18E"/>
      </x:bottom>
    </x:border>
    <x:border>
      <x:left style="thin">
        <x:color rgb="FFE6B8AF"/>
      </x:left>
      <x:top style="thin">
        <x:color rgb="FFE6B8AF"/>
      </x:top>
      <x:bottom style="thin">
        <x:color rgb="FFE6B8AF"/>
      </x:bottom>
    </x:border>
    <x:border>
      <x:top style="thin">
        <x:color rgb="FFE6B8AF"/>
      </x:top>
      <x:bottom style="thin">
        <x:color rgb="FFE6B8AF"/>
      </x:bottom>
    </x:border>
    <x:border>
      <x:right style="thin">
        <x:color rgb="FFE6B8AF"/>
      </x:right>
      <x:top style="thin">
        <x:color rgb="FFE6B8AF"/>
      </x:top>
      <x:bottom style="thin">
        <x:color rgb="FFE6B8AF"/>
      </x:bottom>
    </x:border>
    <x:border>
      <x:left style="thin">
        <x:color rgb="FF9E9E9E"/>
      </x:left>
      <x:top style="thin">
        <x:color rgb="FF9E9E9E"/>
      </x:top>
      <x:bottom style="thin">
        <x:color rgb="FF9E9E9E"/>
      </x:bottom>
    </x:border>
    <x:border>
      <x:top style="thin">
        <x:color rgb="FF9E9E9E"/>
      </x:top>
      <x:bottom style="thin">
        <x:color rgb="FF9E9E9E"/>
      </x:bottom>
    </x:border>
    <x:border>
      <x:right style="thin">
        <x:color rgb="FF9E9E9E"/>
      </x:right>
      <x:top style="thin">
        <x:color rgb="FF9E9E9E"/>
      </x:top>
      <x:bottom style="thin">
        <x:color rgb="FF9E9E9E"/>
      </x:bottom>
    </x:border>
    <x:border>
      <x:left style="thin">
        <x:color rgb="FFD0D0D0"/>
      </x:left>
      <x:top style="thin">
        <x:color rgb="FFD0D0D0"/>
      </x:top>
    </x:border>
    <x:border>
      <x:top style="thin">
        <x:color rgb="FFD0D0D0"/>
      </x:top>
    </x:border>
    <x:border>
      <x:right style="thin">
        <x:color rgb="FFD0D0D0"/>
      </x:right>
      <x:top style="thin">
        <x:color rgb="FFD0D0D0"/>
      </x:top>
    </x:border>
    <x:border>
      <x:left style="thin">
        <x:color rgb="FFD0D0D0"/>
      </x:left>
    </x:border>
    <x:border>
      <x:right style="thin">
        <x:color rgb="FFD0D0D0"/>
      </x:right>
    </x:border>
    <x:border>
      <x:left style="thin">
        <x:color rgb="FFD0D0D0"/>
      </x:left>
      <x:bottom style="thin">
        <x:color rgb="FFD0D0D0"/>
      </x:bottom>
    </x:border>
    <x:border>
      <x:bottom style="thin">
        <x:color rgb="FFD0D0D0"/>
      </x:bottom>
    </x:border>
    <x:border>
      <x:right style="thin">
        <x:color rgb="FFD0D0D0"/>
      </x:right>
      <x:bottom style="thin">
        <x:color rgb="FFD0D0D0"/>
      </x:bottom>
    </x:border>
  </x:borders>
  <x:cellStyleXfs count="1">
    <x:xf numFmtId="0" fontId="0" fillId="0" borderId="0"/>
  </x:cellStyleXfs>
  <x:cellXfs count="246">
    <x:xf numFmtId="0" fontId="0" fillId="0" borderId="0" xfId="0"/>
    <x:xf numFmtId="0" fontId="1" fillId="0" borderId="0" xfId="0" applyAlignment="1">
      <x:alignment horizontal="center" vertical="center" wrapText="1"/>
    </x:xf>
    <x:xf numFmtId="0" fontId="0" fillId="0" borderId="0" xfId="0" applyAlignment="1">
      <x:alignment horizontal="left" vertical="top" wrapText="1"/>
    </x:xf>
    <x:xf numFmtId="0" fontId="2" fillId="2" borderId="1" xfId="0" applyAlignment="1">
      <x:alignment horizontal="center" vertical="center" wrapText="1"/>
    </x:xf>
    <x:xf numFmtId="0" fontId="3" fillId="0" borderId="1" xfId="0" applyAlignment="1">
      <x:alignment horizontal="center" vertical="center" wrapText="1"/>
    </x:xf>
    <x:xf numFmtId="0" fontId="4" fillId="0" borderId="0" xfId="0"/>
    <x:xf numFmtId="0" fontId="3" fillId="0" borderId="1" xfId="0" applyAlignment="1">
      <x:alignment horizontal="left" vertical="top" wrapText="1"/>
    </x:xf>
    <x:xf numFmtId="0" fontId="5" fillId="0" borderId="0" xfId="0"/>
    <x:xf numFmtId="0" fontId="0" fillId="0" borderId="1" xfId="0"/>
    <x:xf numFmtId="0" fontId="0" fillId="0" borderId="1" xfId="0" applyAlignment="1">
      <x:alignment horizontal="center" vertical="center" wrapText="1"/>
    </x:xf>
    <x:xf numFmtId="0" fontId="6" fillId="0" borderId="0" xfId="0" applyNumberFormat="1" applyFont="1" applyFill="1" applyBorder="1"/>
    <x:xf numFmtId="0" fontId="6" fillId="3" borderId="0" xfId="0" applyNumberFormat="1" applyFont="1" applyFill="1" applyBorder="1"/>
    <x:xf numFmtId="0" fontId="7" fillId="3" borderId="0" xfId="0" applyNumberFormat="1" applyFont="1" applyFill="1" applyBorder="1"/>
    <x:xf numFmtId="0" fontId="7" fillId="3" borderId="0" xfId="0" applyNumberFormat="1" applyFont="1" applyFill="1" applyBorder="1" applyAlignment="1">
      <x:alignment horizontal="center"/>
    </x:xf>
    <x:xf numFmtId="0" fontId="7" fillId="3" borderId="0" xfId="0" applyNumberFormat="1" applyFont="1" applyFill="1" applyBorder="1" applyAlignment="1">
      <x:alignment horizontal="center" vertical="center"/>
    </x:xf>
    <x:xf numFmtId="0" fontId="6" fillId="0" borderId="2" xfId="0" applyNumberFormat="1" applyFont="1" applyFill="1" applyBorder="1"/>
    <x:xf numFmtId="0" fontId="6" fillId="0" borderId="3" xfId="0" applyNumberFormat="1" applyFont="1" applyFill="1" applyBorder="1"/>
    <x:xf numFmtId="0" fontId="6" fillId="0" borderId="4"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2" xfId="0" applyNumberFormat="1" applyFont="1" applyFill="1" applyBorder="1" applyAlignment="1">
      <x:alignment wrapText="1"/>
    </x:xf>
    <x:xf numFmtId="0" fontId="6" fillId="0" borderId="3"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5" xfId="0" applyNumberFormat="1" applyFont="1" applyFill="1" applyBorder="1" applyAlignment="1">
      <x:alignment wrapText="1"/>
    </x:xf>
    <x:xf numFmtId="0" fontId="6" fillId="0" borderId="6" xfId="0" applyNumberFormat="1" applyFont="1" applyFill="1" applyBorder="1" applyAlignment="1">
      <x:alignment wrapText="1"/>
    </x:xf>
    <x:xf numFmtId="0" fontId="6" fillId="0" borderId="7" xfId="0" applyNumberFormat="1" applyFont="1" applyFill="1" applyBorder="1" applyAlignment="1">
      <x:alignment wrapText="1"/>
    </x:xf>
    <x:xf numFmtId="0" fontId="6" fillId="0" borderId="2" xfId="0" applyNumberFormat="1" applyFont="1" applyFill="1" applyBorder="1" applyAlignment="1">
      <x:alignment vertical="center" wrapText="1"/>
    </x:xf>
    <x:xf numFmtId="0" fontId="6" fillId="0" borderId="3" xfId="0" applyNumberFormat="1" applyFont="1" applyFill="1" applyBorder="1" applyAlignment="1">
      <x:alignment vertical="center" wrapText="1"/>
    </x:xf>
    <x:xf numFmtId="0" fontId="6" fillId="0" borderId="4" xfId="0" applyNumberFormat="1" applyFont="1" applyFill="1" applyBorder="1" applyAlignment="1">
      <x:alignment vertical="center" wrapText="1"/>
    </x:xf>
    <x:xf numFmtId="0" fontId="6" fillId="0" borderId="5" xfId="0" applyNumberFormat="1" applyFont="1" applyFill="1" applyBorder="1" applyAlignment="1">
      <x:alignment vertical="center" wrapText="1"/>
    </x:xf>
    <x:xf numFmtId="0" fontId="6" fillId="0" borderId="6" xfId="0" applyNumberFormat="1" applyFont="1" applyFill="1" applyBorder="1" applyAlignment="1">
      <x:alignment vertical="center" wrapText="1"/>
    </x:xf>
    <x:xf numFmtId="0" fontId="6" fillId="0" borderId="7" xfId="0" applyNumberFormat="1" applyFont="1" applyFill="1" applyBorder="1" applyAlignment="1">
      <x:alignment vertical="center" wrapText="1"/>
    </x:xf>
    <x:xf numFmtId="0" fontId="6" fillId="4" borderId="2" xfId="0" applyNumberFormat="1" applyFont="1" applyFill="1" applyBorder="1" applyAlignment="1">
      <x:alignment vertical="center" wrapText="1"/>
    </x:xf>
    <x:xf numFmtId="0" fontId="6" fillId="4" borderId="3" xfId="0" applyNumberFormat="1" applyFont="1" applyFill="1" applyBorder="1" applyAlignment="1">
      <x:alignment vertical="center" wrapText="1"/>
    </x:xf>
    <x:xf numFmtId="0" fontId="6" fillId="5" borderId="3" xfId="0" applyNumberFormat="1" applyFont="1" applyFill="1" applyBorder="1" applyAlignment="1">
      <x:alignment vertical="center" wrapText="1"/>
    </x:xf>
    <x:xf numFmtId="0" fontId="8" fillId="5" borderId="3" xfId="0" applyNumberFormat="1" applyFont="1" applyFill="1" applyBorder="1" applyAlignment="1">
      <x:alignment vertical="center" wrapText="1"/>
    </x:xf>
    <x:xf numFmtId="0" fontId="8" fillId="5" borderId="8" xfId="0" applyNumberFormat="1" applyFont="1" applyFill="1" applyBorder="1" applyAlignment="1">
      <x:alignment vertical="center" wrapText="1"/>
    </x:xf>
    <x:xf numFmtId="200" fontId="8" fillId="5" borderId="8" xfId="0" applyNumberFormat="1" applyFont="1" applyFill="1" applyBorder="1" applyAlignment="1">
      <x:alignment vertical="center" wrapText="1"/>
    </x:xf>
    <x:xf numFmtId="200" fontId="8" fillId="5" borderId="8" xfId="0" applyNumberFormat="1" applyFont="1" applyFill="1" applyBorder="1" applyAlignment="1">
      <x:alignment horizontal="center" vertical="center" wrapText="1"/>
    </x:xf>
    <x:xf numFmtId="0" fontId="6" fillId="6" borderId="3" xfId="0" applyNumberFormat="1" applyFont="1" applyFill="1" applyBorder="1" applyAlignment="1">
      <x:alignment vertical="center" wrapText="1"/>
    </x:xf>
    <x:xf numFmtId="0" fontId="9" fillId="6" borderId="3" xfId="0" applyNumberFormat="1" applyFont="1" applyFill="1" applyBorder="1" applyAlignment="1">
      <x:alignment vertical="center" wrapText="1"/>
    </x:xf>
    <x:xf numFmtId="0" fontId="9" fillId="6" borderId="8" xfId="0" applyNumberFormat="1" applyFont="1" applyFill="1" applyBorder="1" applyAlignment="1">
      <x:alignment vertical="center" wrapText="1"/>
    </x:xf>
    <x:xf numFmtId="200" fontId="9" fillId="6" borderId="8" xfId="0" applyNumberFormat="1" applyFont="1" applyFill="1" applyBorder="1" applyAlignment="1">
      <x:alignment vertical="center" wrapText="1"/>
    </x:xf>
    <x:xf numFmtId="200" fontId="9" fillId="6" borderId="8" xfId="0" applyNumberFormat="1" applyFont="1" applyFill="1" applyBorder="1" applyAlignment="1">
      <x:alignment horizontal="center" vertical="center" wrapText="1"/>
    </x:xf>
    <x:xf numFmtId="0" fontId="6" fillId="6" borderId="4" xfId="0" applyNumberFormat="1" applyFont="1" applyFill="1" applyBorder="1" applyAlignment="1">
      <x:alignment vertical="center" wrapText="1"/>
    </x:xf>
    <x:xf numFmtId="0" fontId="9" fillId="6" borderId="4" xfId="0" applyNumberFormat="1" applyFont="1" applyFill="1" applyBorder="1" applyAlignment="1">
      <x:alignment vertical="center" wrapText="1"/>
    </x:xf>
    <x:xf numFmtId="0" fontId="6" fillId="4" borderId="5" xfId="0" applyNumberFormat="1" applyFont="1" applyFill="1" applyBorder="1" applyAlignment="1">
      <x:alignment vertical="center" wrapText="1"/>
    </x:xf>
    <x:xf numFmtId="0" fontId="6" fillId="6" borderId="6" xfId="0" applyNumberFormat="1" applyFont="1" applyFill="1" applyBorder="1" applyAlignment="1">
      <x:alignment vertical="center" wrapText="1"/>
    </x:xf>
    <x:xf numFmtId="0" fontId="9" fillId="6" borderId="6" xfId="0" applyNumberFormat="1" applyFont="1" applyFill="1" applyBorder="1" applyAlignment="1">
      <x:alignment vertical="center" wrapText="1"/>
    </x:xf>
    <x:xf numFmtId="0" fontId="10" fillId="0" borderId="6" xfId="0" applyNumberFormat="1" applyFont="1" applyFill="1" applyBorder="1" applyAlignment="1">
      <x:alignment vertical="center" wrapText="1"/>
    </x:xf>
    <x:xf numFmtId="0" fontId="10" fillId="0" borderId="7" xfId="0" applyNumberFormat="1" applyFont="1" applyFill="1" applyBorder="1" applyAlignment="1">
      <x:alignment vertical="center" wrapText="1"/>
    </x:xf>
    <x:xf numFmtId="0" fontId="10" fillId="0" borderId="9" xfId="0" applyNumberFormat="1" applyFont="1" applyFill="1" applyBorder="1" applyAlignment="1">
      <x:alignment vertical="center" wrapText="1"/>
    </x:xf>
    <x:xf numFmtId="0" fontId="10" fillId="0" borderId="10" xfId="0" applyNumberFormat="1" applyFont="1" applyFill="1" applyBorder="1" applyAlignment="1">
      <x:alignment vertical="center" wrapText="1"/>
    </x:xf>
    <x:xf numFmtId="0" fontId="10" fillId="0" borderId="11" xfId="0" applyNumberFormat="1" applyFont="1" applyFill="1" applyBorder="1" applyAlignment="1">
      <x:alignment vertical="center" wrapText="1"/>
    </x:xf>
    <x:xf numFmtId="0" fontId="6" fillId="7" borderId="0" xfId="0" applyNumberFormat="1" applyFont="1" applyFill="1" applyBorder="1"/>
    <x:xf numFmtId="0" fontId="11" fillId="7" borderId="0" xfId="0" applyNumberFormat="1" applyFont="1" applyFill="1" applyBorder="1"/>
    <x:xf numFmtId="0" fontId="11" fillId="7" borderId="12" xfId="0" applyNumberFormat="1" applyFont="1" applyFill="1" applyBorder="1"/>
    <x:xf numFmtId="0" fontId="11" fillId="7" borderId="13" xfId="0" applyNumberFormat="1" applyFont="1" applyFill="1" applyBorder="1"/>
    <x:xf numFmtId="0" fontId="11" fillId="7" borderId="14" xfId="0" applyNumberFormat="1" applyFont="1" applyFill="1" applyBorder="1"/>
    <x:xf numFmtId="0" fontId="11" fillId="7" borderId="12" xfId="0" applyNumberFormat="1" applyFont="1" applyFill="1" applyBorder="1" applyAlignment="1">
      <x:alignment wrapText="1"/>
    </x:xf>
    <x:xf numFmtId="0" fontId="11" fillId="7" borderId="13" xfId="0" applyNumberFormat="1" applyFont="1" applyFill="1" applyBorder="1" applyAlignment="1">
      <x:alignment wrapText="1"/>
    </x:xf>
    <x:xf numFmtId="0" fontId="11" fillId="7" borderId="14" xfId="0" applyNumberFormat="1" applyFont="1" applyFill="1" applyBorder="1" applyAlignment="1">
      <x:alignment wrapText="1"/>
    </x:xf>
    <x:xf numFmtId="0" fontId="11" fillId="7" borderId="12" xfId="0" applyNumberFormat="1" applyFont="1" applyFill="1" applyBorder="1" applyAlignment="1">
      <x:alignment vertical="center" wrapText="1"/>
    </x:xf>
    <x:xf numFmtId="0" fontId="11" fillId="7" borderId="13" xfId="0" applyNumberFormat="1" applyFont="1" applyFill="1" applyBorder="1" applyAlignment="1">
      <x:alignment vertical="center" wrapText="1"/>
    </x:xf>
    <x:xf numFmtId="0" fontId="11" fillId="7" borderId="14" xfId="0" applyNumberFormat="1" applyFont="1" applyFill="1" applyBorder="1" applyAlignment="1">
      <x:alignment vertical="center" wrapText="1"/>
    </x:xf>
    <x:xf numFmtId="0" fontId="6" fillId="8" borderId="0" xfId="0" applyNumberFormat="1" applyFont="1" applyFill="1" applyBorder="1"/>
    <x:xf numFmtId="0" fontId="12" fillId="8" borderId="0" xfId="0" applyNumberFormat="1" applyFont="1" applyFill="1" applyBorder="1"/>
    <x:xf numFmtId="0" fontId="12" fillId="8" borderId="15" xfId="0" applyNumberFormat="1" applyFont="1" applyFill="1" applyBorder="1"/>
    <x:xf numFmtId="0" fontId="12" fillId="8" borderId="16" xfId="0" applyNumberFormat="1" applyFont="1" applyFill="1" applyBorder="1"/>
    <x:xf numFmtId="0" fontId="12" fillId="8" borderId="17" xfId="0" applyNumberFormat="1" applyFont="1" applyFill="1" applyBorder="1"/>
    <x:xf numFmtId="0" fontId="12" fillId="8" borderId="15" xfId="0" applyNumberFormat="1" applyFont="1" applyFill="1" applyBorder="1" applyAlignment="1">
      <x:alignment wrapText="1"/>
    </x:xf>
    <x:xf numFmtId="0" fontId="12" fillId="8" borderId="16" xfId="0" applyNumberFormat="1" applyFont="1" applyFill="1" applyBorder="1" applyAlignment="1">
      <x:alignment wrapText="1"/>
    </x:xf>
    <x:xf numFmtId="0" fontId="12" fillId="8" borderId="17" xfId="0" applyNumberFormat="1" applyFont="1" applyFill="1" applyBorder="1" applyAlignment="1">
      <x:alignment wrapText="1"/>
    </x:xf>
    <x:xf numFmtId="0" fontId="12" fillId="8" borderId="15" xfId="0" applyNumberFormat="1" applyFont="1" applyFill="1" applyBorder="1" applyAlignment="1">
      <x:alignment vertical="center" wrapText="1"/>
    </x:xf>
    <x:xf numFmtId="0" fontId="12" fillId="8" borderId="16" xfId="0" applyNumberFormat="1" applyFont="1" applyFill="1" applyBorder="1" applyAlignment="1">
      <x:alignment vertical="center" wrapText="1"/>
    </x:xf>
    <x:xf numFmtId="0" fontId="12" fillId="8" borderId="17" xfId="0" applyNumberFormat="1" applyFont="1" applyFill="1" applyBorder="1" applyAlignment="1">
      <x:alignment vertical="center" wrapText="1"/>
    </x:xf>
    <x:xf numFmtId="0" fontId="6" fillId="4" borderId="0" xfId="0" applyNumberFormat="1" applyFont="1" applyFill="1" applyBorder="1"/>
    <x:xf numFmtId="0" fontId="13" fillId="4" borderId="0" xfId="0" applyNumberFormat="1" applyFont="1" applyFill="1" applyBorder="1"/>
    <x:xf numFmtId="0" fontId="13" fillId="4" borderId="18" xfId="0" applyNumberFormat="1" applyFont="1" applyFill="1" applyBorder="1"/>
    <x:xf numFmtId="0" fontId="13" fillId="4" borderId="19" xfId="0" applyNumberFormat="1" applyFont="1" applyFill="1" applyBorder="1"/>
    <x:xf numFmtId="0" fontId="13" fillId="4" borderId="20" xfId="0" applyNumberFormat="1" applyFont="1" applyFill="1" applyBorder="1"/>
    <x:xf numFmtId="0" fontId="13" fillId="4" borderId="18" xfId="0" applyNumberFormat="1" applyFont="1" applyFill="1" applyBorder="1" applyAlignment="1">
      <x:alignment wrapText="1"/>
    </x:xf>
    <x:xf numFmtId="0" fontId="13" fillId="4" borderId="19" xfId="0" applyNumberFormat="1" applyFont="1" applyFill="1" applyBorder="1" applyAlignment="1">
      <x:alignment wrapText="1"/>
    </x:xf>
    <x:xf numFmtId="0" fontId="13" fillId="4" borderId="20" xfId="0" applyNumberFormat="1" applyFont="1" applyFill="1" applyBorder="1" applyAlignment="1">
      <x:alignment wrapText="1"/>
    </x:xf>
    <x:xf numFmtId="0" fontId="13" fillId="4" borderId="18" xfId="0" applyNumberFormat="1" applyFont="1" applyFill="1" applyBorder="1" applyAlignment="1">
      <x:alignment horizontal="center" wrapText="1"/>
    </x:xf>
    <x:xf numFmtId="0" fontId="13" fillId="4" borderId="19" xfId="0" applyNumberFormat="1" applyFont="1" applyFill="1" applyBorder="1" applyAlignment="1">
      <x:alignment horizontal="center" wrapText="1"/>
    </x:xf>
    <x:xf numFmtId="0" fontId="13" fillId="4" borderId="20" xfId="0" applyNumberFormat="1" applyFont="1" applyFill="1" applyBorder="1" applyAlignment="1">
      <x:alignment horizontal="center" wrapText="1"/>
    </x:xf>
    <x:xf numFmtId="0" fontId="13" fillId="4" borderId="18" xfId="0" applyNumberFormat="1" applyFont="1" applyFill="1" applyBorder="1" applyAlignment="1">
      <x:alignment horizontal="center" vertical="center" wrapText="1"/>
    </x:xf>
    <x:xf numFmtId="0" fontId="13" fillId="4" borderId="19" xfId="0" applyNumberFormat="1" applyFont="1" applyFill="1" applyBorder="1" applyAlignment="1">
      <x:alignment horizontal="center" vertical="center" wrapText="1"/>
    </x:xf>
    <x:xf numFmtId="0" fontId="13" fillId="4" borderId="20" xfId="0" applyNumberFormat="1" applyFont="1" applyFill="1" applyBorder="1" applyAlignment="1">
      <x:alignment horizontal="center" vertical="center" wrapText="1"/>
    </x:xf>
    <x:xf numFmtId="0" fontId="14" fillId="0" borderId="0" xfId="0" applyNumberFormat="1" applyFont="1" applyFill="1" applyBorder="1"/>
    <x:xf numFmtId="0" fontId="14" fillId="0" borderId="21" xfId="0" applyNumberFormat="1" applyFont="1" applyFill="1" applyBorder="1"/>
    <x:xf numFmtId="0" fontId="14" fillId="0" borderId="22" xfId="0" applyNumberFormat="1" applyFont="1" applyFill="1" applyBorder="1"/>
    <x:xf numFmtId="0" fontId="14" fillId="0" borderId="23" xfId="0" applyNumberFormat="1" applyFont="1" applyFill="1" applyBorder="1"/>
    <x:xf numFmtId="0" fontId="14" fillId="0" borderId="24" xfId="0" applyNumberFormat="1" applyFont="1" applyFill="1" applyBorder="1"/>
    <x:xf numFmtId="0" fontId="14" fillId="0" borderId="25" xfId="0" applyNumberFormat="1" applyFont="1" applyFill="1" applyBorder="1"/>
    <x:xf numFmtId="0" fontId="14" fillId="0" borderId="26" xfId="0" applyNumberFormat="1" applyFont="1" applyFill="1" applyBorder="1"/>
    <x:xf numFmtId="0" fontId="14" fillId="0" borderId="27" xfId="0" applyNumberFormat="1" applyFont="1" applyFill="1" applyBorder="1"/>
    <x:xf numFmtId="0" fontId="14" fillId="0" borderId="28" xfId="0" applyNumberFormat="1" applyFont="1" applyFill="1" applyBorder="1"/>
    <x:xf numFmtId="0" fontId="14" fillId="0" borderId="21" xfId="0" applyNumberFormat="1" applyFont="1" applyFill="1" applyBorder="1" applyAlignment="1">
      <x:alignment horizontal="center"/>
    </x:xf>
    <x:xf numFmtId="0" fontId="14" fillId="0" borderId="22" xfId="0" applyNumberFormat="1" applyFont="1" applyFill="1" applyBorder="1" applyAlignment="1">
      <x:alignment horizontal="center"/>
    </x:xf>
    <x:xf numFmtId="0" fontId="14" fillId="0" borderId="23" xfId="0" applyNumberFormat="1" applyFont="1" applyFill="1" applyBorder="1" applyAlignment="1">
      <x:alignment horizontal="center"/>
    </x:xf>
    <x:xf numFmtId="0" fontId="14" fillId="0" borderId="24" xfId="0" applyNumberFormat="1" applyFont="1" applyFill="1" applyBorder="1" applyAlignment="1">
      <x:alignment horizontal="center"/>
    </x:xf>
    <x:xf numFmtId="0" fontId="14" fillId="0" borderId="0" xfId="0" applyNumberFormat="1" applyFont="1" applyFill="1" applyBorder="1" applyAlignment="1">
      <x:alignment horizontal="center"/>
    </x:xf>
    <x:xf numFmtId="0" fontId="14" fillId="0" borderId="25" xfId="0" applyNumberFormat="1" applyFont="1" applyFill="1" applyBorder="1" applyAlignment="1">
      <x:alignment horizontal="center"/>
    </x:xf>
    <x:xf numFmtId="0" fontId="14" fillId="0" borderId="26" xfId="0" applyNumberFormat="1" applyFont="1" applyFill="1" applyBorder="1" applyAlignment="1">
      <x:alignment horizontal="center"/>
    </x:xf>
    <x:xf numFmtId="0" fontId="14" fillId="0" borderId="27" xfId="0" applyNumberFormat="1" applyFont="1" applyFill="1" applyBorder="1" applyAlignment="1">
      <x:alignment horizontal="center"/>
    </x:xf>
    <x:xf numFmtId="0" fontId="14" fillId="0" borderId="28" xfId="0" applyNumberFormat="1" applyFont="1" applyFill="1" applyBorder="1" applyAlignment="1">
      <x:alignment horizontal="center"/>
    </x:xf>
    <x:xf numFmtId="0" fontId="14" fillId="0" borderId="21" xfId="0" applyNumberFormat="1" applyFont="1" applyFill="1" applyBorder="1" applyAlignment="1">
      <x:alignment horizontal="center" vertical="center"/>
    </x:xf>
    <x:xf numFmtId="0" fontId="14" fillId="0" borderId="22" xfId="0" applyNumberFormat="1" applyFont="1" applyFill="1" applyBorder="1" applyAlignment="1">
      <x:alignment horizontal="center" vertical="center"/>
    </x:xf>
    <x:xf numFmtId="0" fontId="14" fillId="0" borderId="23" xfId="0" applyNumberFormat="1" applyFont="1" applyFill="1" applyBorder="1" applyAlignment="1">
      <x:alignment horizontal="center" vertical="center"/>
    </x:xf>
    <x:xf numFmtId="0" fontId="14" fillId="0" borderId="24" xfId="0" applyNumberFormat="1" applyFont="1" applyFill="1" applyBorder="1" applyAlignment="1">
      <x:alignment horizontal="center" vertical="center"/>
    </x:xf>
    <x:xf numFmtId="0" fontId="14" fillId="0" borderId="0" xfId="0" applyNumberFormat="1" applyFont="1" applyFill="1" applyBorder="1" applyAlignment="1">
      <x:alignment horizontal="center" vertical="center"/>
    </x:xf>
    <x:xf numFmtId="0" fontId="14" fillId="0" borderId="25" xfId="0" applyNumberFormat="1" applyFont="1" applyFill="1" applyBorder="1" applyAlignment="1">
      <x:alignment horizontal="center" vertical="center"/>
    </x:xf>
    <x:xf numFmtId="0" fontId="14" fillId="0" borderId="26" xfId="0" applyNumberFormat="1" applyFont="1" applyFill="1" applyBorder="1" applyAlignment="1">
      <x:alignment horizontal="center" vertical="center"/>
    </x:xf>
    <x:xf numFmtId="0" fontId="14" fillId="0" borderId="27" xfId="0" applyNumberFormat="1" applyFont="1" applyFill="1" applyBorder="1" applyAlignment="1">
      <x:alignment horizontal="center" vertical="center"/>
    </x:xf>
    <x:xf numFmtId="0" fontId="14" fillId="0" borderId="28" xfId="0" applyNumberFormat="1" applyFont="1" applyFill="1" applyBorder="1" applyAlignment="1">
      <x:alignment horizontal="center" vertical="center"/>
    </x:xf>
    <x:xf numFmtId="200" fontId="14" fillId="0" borderId="21" xfId="0" applyNumberFormat="1" applyFont="1" applyFill="1" applyBorder="1" applyAlignment="1">
      <x:alignment horizontal="center" vertical="center"/>
    </x:xf>
    <x:xf numFmtId="200" fontId="14" fillId="0" borderId="22" xfId="0" applyNumberFormat="1" applyFont="1" applyFill="1" applyBorder="1" applyAlignment="1">
      <x:alignment horizontal="center" vertical="center"/>
    </x:xf>
    <x:xf numFmtId="200" fontId="14" fillId="0" borderId="24" xfId="0" applyNumberFormat="1" applyFont="1" applyFill="1" applyBorder="1" applyAlignment="1">
      <x:alignment horizontal="center" vertical="center"/>
    </x:xf>
    <x:xf numFmtId="200" fontId="14" fillId="0" borderId="0" xfId="0" applyNumberFormat="1" applyFont="1" applyFill="1" applyBorder="1" applyAlignment="1">
      <x:alignment horizontal="center" vertical="center"/>
    </x:xf>
    <x:xf numFmtId="200" fontId="14" fillId="0" borderId="26" xfId="0" applyNumberFormat="1" applyFont="1" applyFill="1" applyBorder="1" applyAlignment="1">
      <x:alignment horizontal="center" vertical="center"/>
    </x:xf>
    <x:xf numFmtId="200" fontId="14" fillId="0" borderId="27" xfId="0" applyNumberFormat="1" applyFont="1" applyFill="1" applyBorder="1" applyAlignment="1">
      <x:alignment horizontal="center" vertical="center"/>
    </x:xf>
    <x:xf numFmtId="201" fontId="14" fillId="0" borderId="22" xfId="0" applyNumberFormat="1" applyFont="1" applyFill="1" applyBorder="1" applyAlignment="1">
      <x:alignment horizontal="center" vertical="center"/>
    </x:xf>
    <x:xf numFmtId="201" fontId="14" fillId="0" borderId="0" xfId="0" applyNumberFormat="1" applyFont="1" applyFill="1" applyBorder="1" applyAlignment="1">
      <x:alignment horizontal="center" vertical="center"/>
    </x:xf>
    <x:xf numFmtId="201" fontId="14" fillId="0" borderId="27" xfId="0" applyNumberFormat="1" applyFont="1" applyFill="1" applyBorder="1" applyAlignment="1">
      <x:alignment horizontal="center" vertical="center"/>
    </x:xf>
    <x:xf numFmtId="200" fontId="14" fillId="7" borderId="21" xfId="0" applyNumberFormat="1" applyFont="1" applyFill="1" applyBorder="1" applyAlignment="1">
      <x:alignment horizontal="center" vertical="center"/>
    </x:xf>
    <x:xf numFmtId="200" fontId="14" fillId="7" borderId="22" xfId="0" applyNumberFormat="1" applyFont="1" applyFill="1" applyBorder="1" applyAlignment="1">
      <x:alignment horizontal="center" vertical="center"/>
    </x:xf>
    <x:xf numFmtId="201" fontId="14" fillId="7" borderId="22" xfId="0" applyNumberFormat="1" applyFont="1" applyFill="1" applyBorder="1" applyAlignment="1">
      <x:alignment horizontal="center" vertical="center"/>
    </x:xf>
    <x:xf numFmtId="0" fontId="14" fillId="7" borderId="23" xfId="0" applyNumberFormat="1" applyFont="1" applyFill="1" applyBorder="1" applyAlignment="1">
      <x:alignment horizontal="center" vertical="center"/>
    </x:xf>
    <x:xf numFmtId="200" fontId="14" fillId="9" borderId="24" xfId="0" applyNumberFormat="1" applyFont="1" applyFill="1" applyBorder="1" applyAlignment="1">
      <x:alignment horizontal="center" vertical="center"/>
    </x:xf>
    <x:xf numFmtId="200" fontId="14" fillId="9" borderId="0" xfId="0" applyNumberFormat="1" applyFont="1" applyFill="1" applyBorder="1" applyAlignment="1">
      <x:alignment horizontal="center" vertical="center"/>
    </x:xf>
    <x:xf numFmtId="201" fontId="14" fillId="9" borderId="0" xfId="0" applyNumberFormat="1" applyFont="1" applyFill="1" applyBorder="1" applyAlignment="1">
      <x:alignment horizontal="center" vertical="center"/>
    </x:xf>
    <x:xf numFmtId="0" fontId="14" fillId="9" borderId="25" xfId="0" applyNumberFormat="1" applyFont="1" applyFill="1" applyBorder="1" applyAlignment="1">
      <x:alignment horizontal="center" vertical="center"/>
    </x:xf>
    <x:xf numFmtId="200" fontId="14" fillId="8" borderId="24" xfId="0" applyNumberFormat="1" applyFont="1" applyFill="1" applyBorder="1" applyAlignment="1">
      <x:alignment horizontal="center" vertical="center"/>
    </x:xf>
    <x:xf numFmtId="200" fontId="14" fillId="8" borderId="0" xfId="0" applyNumberFormat="1" applyFont="1" applyFill="1" applyBorder="1" applyAlignment="1">
      <x:alignment horizontal="center" vertical="center"/>
    </x:xf>
    <x:xf numFmtId="201" fontId="14" fillId="8" borderId="0" xfId="0" applyNumberFormat="1" applyFont="1" applyFill="1" applyBorder="1" applyAlignment="1">
      <x:alignment horizontal="center" vertical="center"/>
    </x:xf>
    <x:xf numFmtId="0" fontId="14" fillId="8" borderId="25" xfId="0" applyNumberFormat="1" applyFont="1" applyFill="1" applyBorder="1" applyAlignment="1">
      <x:alignment horizontal="center" vertical="center"/>
    </x:xf>
    <x:xf numFmtId="200" fontId="14" fillId="9" borderId="26" xfId="0" applyNumberFormat="1" applyFont="1" applyFill="1" applyBorder="1" applyAlignment="1">
      <x:alignment horizontal="center" vertical="center"/>
    </x:xf>
    <x:xf numFmtId="200" fontId="14" fillId="9" borderId="27" xfId="0" applyNumberFormat="1" applyFont="1" applyFill="1" applyBorder="1" applyAlignment="1">
      <x:alignment horizontal="center" vertical="center"/>
    </x:xf>
    <x:xf numFmtId="201" fontId="14" fillId="9" borderId="27" xfId="0" applyNumberFormat="1" applyFont="1" applyFill="1" applyBorder="1" applyAlignment="1">
      <x:alignment horizontal="center" vertical="center"/>
    </x:xf>
    <x:xf numFmtId="0" fontId="14" fillId="9" borderId="28" xfId="0" applyNumberFormat="1" applyFont="1" applyFill="1" applyBorder="1" applyAlignment="1">
      <x:alignment horizontal="center" vertical="center"/>
    </x:xf>
    <x:xf numFmtId="200" fontId="14" fillId="8" borderId="26" xfId="0" applyNumberFormat="1" applyFont="1" applyFill="1" applyBorder="1" applyAlignment="1">
      <x:alignment horizontal="center" vertical="center"/>
    </x:xf>
    <x:xf numFmtId="200" fontId="14" fillId="8" borderId="27" xfId="0" applyNumberFormat="1" applyFont="1" applyFill="1" applyBorder="1" applyAlignment="1">
      <x:alignment horizontal="center" vertical="center"/>
    </x:xf>
    <x:xf numFmtId="201" fontId="14" fillId="8" borderId="27" xfId="0" applyNumberFormat="1" applyFont="1" applyFill="1" applyBorder="1" applyAlignment="1">
      <x:alignment horizontal="center" vertical="center"/>
    </x:xf>
    <x:xf numFmtId="0" fontId="14" fillId="8" borderId="28" xfId="0" applyNumberFormat="1" applyFont="1" applyFill="1" applyBorder="1" applyAlignment="1">
      <x:alignment horizontal="center" vertical="center"/>
    </x:xf>
    <x:xf numFmtId="201" fontId="15" fillId="7" borderId="22" xfId="0" applyNumberFormat="1" applyFont="1" applyFill="1" applyBorder="1" applyAlignment="1">
      <x:alignment horizontal="center" vertical="center"/>
    </x:xf>
    <x:xf numFmtId="201" fontId="15" fillId="9" borderId="0" xfId="0" applyNumberFormat="1" applyFont="1" applyFill="1" applyBorder="1" applyAlignment="1">
      <x:alignment horizontal="center" vertical="center"/>
    </x:xf>
    <x:xf numFmtId="201" fontId="15" fillId="0" borderId="0" xfId="0" applyNumberFormat="1" applyFont="1" applyFill="1" applyBorder="1" applyAlignment="1">
      <x:alignment horizontal="center" vertical="center"/>
    </x:xf>
    <x:xf numFmtId="201" fontId="15" fillId="8" borderId="0" xfId="0" applyNumberFormat="1" applyFont="1" applyFill="1" applyBorder="1" applyAlignment="1">
      <x:alignment horizontal="center" vertical="center"/>
    </x:xf>
    <x:xf numFmtId="201" fontId="15" fillId="8" borderId="27" xfId="0" applyNumberFormat="1" applyFont="1" applyFill="1" applyBorder="1" applyAlignment="1">
      <x:alignment horizontal="center" vertical="center"/>
    </x:xf>
    <x:xf numFmtId="0" fontId="16" fillId="8" borderId="25" xfId="0" applyNumberFormat="1" applyFont="1" applyFill="1" applyBorder="1" applyAlignment="1">
      <x:alignment horizontal="center" vertical="center"/>
    </x:xf>
    <x:xf numFmtId="0" fontId="16" fillId="8" borderId="28" xfId="0" applyNumberFormat="1" applyFont="1" applyFill="1" applyBorder="1" applyAlignment="1">
      <x:alignment horizontal="center" vertical="center"/>
    </x:xf>
    <x:xf numFmtId="0" fontId="6"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horizontal="center"/>
    </x:xf>
    <x:xf numFmtId="0" fontId="7" fillId="10" borderId="0" xfId="0" applyNumberFormat="1" applyFont="1" applyFill="1" applyBorder="1" applyAlignment="1">
      <x:alignment horizontal="center" vertical="center"/>
    </x:xf>
    <x:xf numFmtId="0" fontId="6" fillId="11" borderId="2" xfId="0" applyNumberFormat="1" applyFont="1" applyFill="1" applyBorder="1" applyAlignment="1">
      <x:alignment vertical="center" wrapText="1"/>
    </x:xf>
    <x:xf numFmtId="0" fontId="6" fillId="11" borderId="3" xfId="0" applyNumberFormat="1" applyFont="1" applyFill="1" applyBorder="1" applyAlignment="1">
      <x:alignment vertical="center" wrapText="1"/>
    </x:xf>
    <x:xf numFmtId="0" fontId="6" fillId="12" borderId="3" xfId="0" applyNumberFormat="1" applyFont="1" applyFill="1" applyBorder="1" applyAlignment="1">
      <x:alignment vertical="center" wrapText="1"/>
    </x:xf>
    <x:xf numFmtId="0" fontId="8" fillId="12" borderId="3" xfId="0" applyNumberFormat="1" applyFont="1" applyFill="1" applyBorder="1" applyAlignment="1">
      <x:alignment vertical="center" wrapText="1"/>
    </x:xf>
    <x:xf numFmtId="0" fontId="8" fillId="12" borderId="8" xfId="0" applyNumberFormat="1" applyFont="1" applyFill="1" applyBorder="1" applyAlignment="1">
      <x:alignment vertical="center" wrapText="1"/>
    </x:xf>
    <x:xf numFmtId="200" fontId="8" fillId="12" borderId="8" xfId="0" applyNumberFormat="1" applyFont="1" applyFill="1" applyBorder="1" applyAlignment="1">
      <x:alignment vertical="center" wrapText="1"/>
    </x:xf>
    <x:xf numFmtId="200" fontId="8" fillId="12" borderId="8" xfId="0" applyNumberFormat="1" applyFont="1" applyFill="1" applyBorder="1" applyAlignment="1">
      <x:alignment horizontal="center" vertical="center" wrapText="1"/>
    </x:xf>
    <x:xf numFmtId="0" fontId="6" fillId="13" borderId="3" xfId="0" applyNumberFormat="1" applyFont="1" applyFill="1" applyBorder="1" applyAlignment="1">
      <x:alignment vertical="center" wrapText="1"/>
    </x:xf>
    <x:xf numFmtId="0" fontId="9" fillId="13" borderId="3" xfId="0" applyNumberFormat="1" applyFont="1" applyFill="1" applyBorder="1" applyAlignment="1">
      <x:alignment vertical="center" wrapText="1"/>
    </x:xf>
    <x:xf numFmtId="0" fontId="9" fillId="13" borderId="8" xfId="0" applyNumberFormat="1" applyFont="1" applyFill="1" applyBorder="1" applyAlignment="1">
      <x:alignment vertical="center" wrapText="1"/>
    </x:xf>
    <x:xf numFmtId="200" fontId="9" fillId="13" borderId="8" xfId="0" applyNumberFormat="1" applyFont="1" applyFill="1" applyBorder="1" applyAlignment="1">
      <x:alignment vertical="center" wrapText="1"/>
    </x:xf>
    <x:xf numFmtId="200" fontId="9" fillId="13" borderId="8" xfId="0" applyNumberFormat="1" applyFont="1" applyFill="1" applyBorder="1" applyAlignment="1">
      <x:alignment horizontal="center" vertical="center" wrapText="1"/>
    </x:xf>
    <x:xf numFmtId="0" fontId="6" fillId="13" borderId="4" xfId="0" applyNumberFormat="1" applyFont="1" applyFill="1" applyBorder="1" applyAlignment="1">
      <x:alignment vertical="center" wrapText="1"/>
    </x:xf>
    <x:xf numFmtId="0" fontId="9" fillId="13" borderId="4" xfId="0" applyNumberFormat="1" applyFont="1" applyFill="1" applyBorder="1" applyAlignment="1">
      <x:alignment vertical="center" wrapText="1"/>
    </x:xf>
    <x:xf numFmtId="0" fontId="6" fillId="11" borderId="5" xfId="0" applyNumberFormat="1" applyFont="1" applyFill="1" applyBorder="1" applyAlignment="1">
      <x:alignment vertical="center" wrapText="1"/>
    </x:xf>
    <x:xf numFmtId="0" fontId="6" fillId="13" borderId="6" xfId="0" applyNumberFormat="1" applyFont="1" applyFill="1" applyBorder="1" applyAlignment="1">
      <x:alignment vertical="center" wrapText="1"/>
    </x:xf>
    <x:xf numFmtId="0" fontId="9" fillId="13" borderId="6" xfId="0" applyNumberFormat="1" applyFont="1" applyFill="1" applyBorder="1" applyAlignment="1">
      <x:alignment vertical="center" wrapText="1"/>
    </x:xf>
    <x:xf numFmtId="0" fontId="6" fillId="14" borderId="0" xfId="0" applyNumberFormat="1" applyFont="1" applyFill="1" applyBorder="1"/>
    <x:xf numFmtId="0" fontId="11" fillId="14" borderId="0" xfId="0" applyNumberFormat="1" applyFont="1" applyFill="1" applyBorder="1"/>
    <x:xf numFmtId="0" fontId="11" fillId="14" borderId="12" xfId="0" applyNumberFormat="1" applyFont="1" applyFill="1" applyBorder="1"/>
    <x:xf numFmtId="0" fontId="11" fillId="14" borderId="13" xfId="0" applyNumberFormat="1" applyFont="1" applyFill="1" applyBorder="1"/>
    <x:xf numFmtId="0" fontId="11" fillId="14" borderId="14" xfId="0" applyNumberFormat="1" applyFont="1" applyFill="1" applyBorder="1"/>
    <x:xf numFmtId="0" fontId="11" fillId="14" borderId="12" xfId="0" applyNumberFormat="1" applyFont="1" applyFill="1" applyBorder="1" applyAlignment="1">
      <x:alignment wrapText="1"/>
    </x:xf>
    <x:xf numFmtId="0" fontId="11" fillId="14" borderId="13" xfId="0" applyNumberFormat="1" applyFont="1" applyFill="1" applyBorder="1" applyAlignment="1">
      <x:alignment wrapText="1"/>
    </x:xf>
    <x:xf numFmtId="0" fontId="11" fillId="14" borderId="14" xfId="0" applyNumberFormat="1" applyFont="1" applyFill="1" applyBorder="1" applyAlignment="1">
      <x:alignment wrapText="1"/>
    </x:xf>
    <x:xf numFmtId="0" fontId="11" fillId="14" borderId="12" xfId="0" applyNumberFormat="1" applyFont="1" applyFill="1" applyBorder="1" applyAlignment="1">
      <x:alignment vertical="center" wrapText="1"/>
    </x:xf>
    <x:xf numFmtId="0" fontId="11" fillId="14" borderId="13" xfId="0" applyNumberFormat="1" applyFont="1" applyFill="1" applyBorder="1" applyAlignment="1">
      <x:alignment vertical="center" wrapText="1"/>
    </x:xf>
    <x:xf numFmtId="0" fontId="11" fillId="14" borderId="14" xfId="0" applyNumberFormat="1" applyFont="1" applyFill="1" applyBorder="1" applyAlignment="1">
      <x:alignment vertical="center" wrapText="1"/>
    </x:xf>
    <x:xf numFmtId="0" fontId="6" fillId="15" borderId="0" xfId="0" applyNumberFormat="1" applyFont="1" applyFill="1" applyBorder="1"/>
    <x:xf numFmtId="0" fontId="12" fillId="15" borderId="0" xfId="0" applyNumberFormat="1" applyFont="1" applyFill="1" applyBorder="1"/>
    <x:xf numFmtId="0" fontId="12" fillId="15" borderId="15" xfId="0" applyNumberFormat="1" applyFont="1" applyFill="1" applyBorder="1"/>
    <x:xf numFmtId="0" fontId="12" fillId="15" borderId="16" xfId="0" applyNumberFormat="1" applyFont="1" applyFill="1" applyBorder="1"/>
    <x:xf numFmtId="0" fontId="12" fillId="15" borderId="17" xfId="0" applyNumberFormat="1" applyFont="1" applyFill="1" applyBorder="1"/>
    <x:xf numFmtId="0" fontId="12" fillId="15" borderId="15" xfId="0" applyNumberFormat="1" applyFont="1" applyFill="1" applyBorder="1" applyAlignment="1">
      <x:alignment wrapText="1"/>
    </x:xf>
    <x:xf numFmtId="0" fontId="12" fillId="15" borderId="16" xfId="0" applyNumberFormat="1" applyFont="1" applyFill="1" applyBorder="1" applyAlignment="1">
      <x:alignment wrapText="1"/>
    </x:xf>
    <x:xf numFmtId="0" fontId="12" fillId="15" borderId="17" xfId="0" applyNumberFormat="1" applyFont="1" applyFill="1" applyBorder="1" applyAlignment="1">
      <x:alignment wrapText="1"/>
    </x:xf>
    <x:xf numFmtId="0" fontId="12" fillId="15" borderId="15" xfId="0" applyNumberFormat="1" applyFont="1" applyFill="1" applyBorder="1" applyAlignment="1">
      <x:alignment vertical="center" wrapText="1"/>
    </x:xf>
    <x:xf numFmtId="0" fontId="12" fillId="15" borderId="16" xfId="0" applyNumberFormat="1" applyFont="1" applyFill="1" applyBorder="1" applyAlignment="1">
      <x:alignment vertical="center" wrapText="1"/>
    </x:xf>
    <x:xf numFmtId="0" fontId="12" fillId="15" borderId="17" xfId="0" applyNumberFormat="1" applyFont="1" applyFill="1" applyBorder="1" applyAlignment="1">
      <x:alignment vertical="center" wrapText="1"/>
    </x:xf>
    <x:xf numFmtId="0" fontId="6" fillId="11" borderId="0" xfId="0" applyNumberFormat="1" applyFont="1" applyFill="1" applyBorder="1"/>
    <x:xf numFmtId="0" fontId="13" fillId="11" borderId="0" xfId="0" applyNumberFormat="1" applyFont="1" applyFill="1" applyBorder="1"/>
    <x:xf numFmtId="0" fontId="13" fillId="11" borderId="18" xfId="0" applyNumberFormat="1" applyFont="1" applyFill="1" applyBorder="1"/>
    <x:xf numFmtId="0" fontId="13" fillId="11" borderId="19" xfId="0" applyNumberFormat="1" applyFont="1" applyFill="1" applyBorder="1"/>
    <x:xf numFmtId="0" fontId="13" fillId="11" borderId="20" xfId="0" applyNumberFormat="1" applyFont="1" applyFill="1" applyBorder="1"/>
    <x:xf numFmtId="0" fontId="13" fillId="11" borderId="18" xfId="0" applyNumberFormat="1" applyFont="1" applyFill="1" applyBorder="1" applyAlignment="1">
      <x:alignment wrapText="1"/>
    </x:xf>
    <x:xf numFmtId="0" fontId="13" fillId="11" borderId="19" xfId="0" applyNumberFormat="1" applyFont="1" applyFill="1" applyBorder="1" applyAlignment="1">
      <x:alignment wrapText="1"/>
    </x:xf>
    <x:xf numFmtId="0" fontId="13" fillId="11" borderId="20" xfId="0" applyNumberFormat="1" applyFont="1" applyFill="1" applyBorder="1" applyAlignment="1">
      <x:alignment wrapText="1"/>
    </x:xf>
    <x:xf numFmtId="0" fontId="13" fillId="11" borderId="18" xfId="0" applyNumberFormat="1" applyFont="1" applyFill="1" applyBorder="1" applyAlignment="1">
      <x:alignment horizontal="center" wrapText="1"/>
    </x:xf>
    <x:xf numFmtId="0" fontId="13" fillId="11" borderId="19" xfId="0" applyNumberFormat="1" applyFont="1" applyFill="1" applyBorder="1" applyAlignment="1">
      <x:alignment horizontal="center" wrapText="1"/>
    </x:xf>
    <x:xf numFmtId="0" fontId="13" fillId="11" borderId="20" xfId="0" applyNumberFormat="1" applyFont="1" applyFill="1" applyBorder="1" applyAlignment="1">
      <x:alignment horizontal="center" wrapText="1"/>
    </x:xf>
    <x:xf numFmtId="0" fontId="13" fillId="11" borderId="18" xfId="0" applyNumberFormat="1" applyFont="1" applyFill="1" applyBorder="1" applyAlignment="1">
      <x:alignment horizontal="center" vertical="center" wrapText="1"/>
    </x:xf>
    <x:xf numFmtId="0" fontId="13" fillId="11" borderId="19" xfId="0" applyNumberFormat="1" applyFont="1" applyFill="1" applyBorder="1" applyAlignment="1">
      <x:alignment horizontal="center" vertical="center" wrapText="1"/>
    </x:xf>
    <x:xf numFmtId="0" fontId="13" fillId="11" borderId="20" xfId="0" applyNumberFormat="1" applyFont="1" applyFill="1" applyBorder="1" applyAlignment="1">
      <x:alignment horizontal="center" vertical="center" wrapText="1"/>
    </x:xf>
    <x:xf numFmtId="0" fontId="14" fillId="0" xfId="0" applyNumberFormat="1" applyFont="1" applyFill="1" applyBorder="0"/>
    <x:xf numFmtId="0" fontId="14" fillId="0" xfId="0" applyNumberFormat="1" applyFont="1" applyFill="1" applyBorder="0" applyAlignment="1">
      <x:alignment horizontal="center"/>
    </x:xf>
    <x:xf numFmtId="0" fontId="14" fillId="0" xfId="0" applyNumberFormat="1" applyFont="1" applyFill="1" applyBorder="0" applyAlignment="1">
      <x:alignment horizontal="center" vertical="center"/>
    </x:xf>
    <x:xf numFmtId="200" fontId="14" fillId="0" xfId="0" applyNumberFormat="1" applyFont="1" applyFill="1" applyBorder="0" applyAlignment="1">
      <x:alignment horizontal="center" vertical="center"/>
    </x:xf>
    <x:xf numFmtId="201" fontId="14" fillId="0" xfId="0" applyNumberFormat="1" applyFont="1" applyFill="1" applyBorder="0" applyAlignment="1">
      <x:alignment horizontal="center" vertical="center"/>
    </x:xf>
    <x:xf numFmtId="200" fontId="14" fillId="14" borderId="21" xfId="0" applyNumberFormat="1" applyFont="1" applyFill="1" applyBorder="1" applyAlignment="1">
      <x:alignment horizontal="center" vertical="center"/>
    </x:xf>
    <x:xf numFmtId="200" fontId="14" fillId="14" borderId="22" xfId="0" applyNumberFormat="1" applyFont="1" applyFill="1" applyBorder="1" applyAlignment="1">
      <x:alignment horizontal="center" vertical="center"/>
    </x:xf>
    <x:xf numFmtId="201" fontId="14" fillId="14" borderId="22" xfId="0" applyNumberFormat="1" applyFont="1" applyFill="1" applyBorder="1" applyAlignment="1">
      <x:alignment horizontal="center" vertical="center"/>
    </x:xf>
    <x:xf numFmtId="0" fontId="14" fillId="14" borderId="23" xfId="0" applyNumberFormat="1" applyFont="1" applyFill="1" applyBorder="1" applyAlignment="1">
      <x:alignment horizontal="center" vertical="center"/>
    </x:xf>
    <x:xf numFmtId="200" fontId="14" fillId="16" borderId="24" xfId="0" applyNumberFormat="1" applyFont="1" applyFill="1" applyBorder="1" applyAlignment="1">
      <x:alignment horizontal="center" vertical="center"/>
    </x:xf>
    <x:xf numFmtId="200" fontId="14" fillId="16" xfId="0" applyNumberFormat="1" applyFont="1" applyFill="1" applyBorder="0" applyAlignment="1">
      <x:alignment horizontal="center" vertical="center"/>
    </x:xf>
    <x:xf numFmtId="201" fontId="14" fillId="16" xfId="0" applyNumberFormat="1" applyFont="1" applyFill="1" applyBorder="0" applyAlignment="1">
      <x:alignment horizontal="center" vertical="center"/>
    </x:xf>
    <x:xf numFmtId="0" fontId="14" fillId="16" borderId="25" xfId="0" applyNumberFormat="1" applyFont="1" applyFill="1" applyBorder="1" applyAlignment="1">
      <x:alignment horizontal="center" vertical="center"/>
    </x:xf>
    <x:xf numFmtId="200" fontId="14" fillId="15" borderId="24" xfId="0" applyNumberFormat="1" applyFont="1" applyFill="1" applyBorder="1" applyAlignment="1">
      <x:alignment horizontal="center" vertical="center"/>
    </x:xf>
    <x:xf numFmtId="200" fontId="14" fillId="15" xfId="0" applyNumberFormat="1" applyFont="1" applyFill="1" applyBorder="0" applyAlignment="1">
      <x:alignment horizontal="center" vertical="center"/>
    </x:xf>
    <x:xf numFmtId="201" fontId="14" fillId="15" xfId="0" applyNumberFormat="1" applyFont="1" applyFill="1" applyBorder="0" applyAlignment="1">
      <x:alignment horizontal="center" vertical="center"/>
    </x:xf>
    <x:xf numFmtId="0" fontId="14" fillId="15" borderId="25" xfId="0" applyNumberFormat="1" applyFont="1" applyFill="1" applyBorder="1" applyAlignment="1">
      <x:alignment horizontal="center" vertical="center"/>
    </x:xf>
    <x:xf numFmtId="200" fontId="14" fillId="16" borderId="26" xfId="0" applyNumberFormat="1" applyFont="1" applyFill="1" applyBorder="1" applyAlignment="1">
      <x:alignment horizontal="center" vertical="center"/>
    </x:xf>
    <x:xf numFmtId="200" fontId="14" fillId="16" borderId="27" xfId="0" applyNumberFormat="1" applyFont="1" applyFill="1" applyBorder="1" applyAlignment="1">
      <x:alignment horizontal="center" vertical="center"/>
    </x:xf>
    <x:xf numFmtId="201" fontId="14" fillId="16" borderId="27" xfId="0" applyNumberFormat="1" applyFont="1" applyFill="1" applyBorder="1" applyAlignment="1">
      <x:alignment horizontal="center" vertical="center"/>
    </x:xf>
    <x:xf numFmtId="0" fontId="14" fillId="16" borderId="28" xfId="0" applyNumberFormat="1" applyFont="1" applyFill="1" applyBorder="1" applyAlignment="1">
      <x:alignment horizontal="center" vertical="center"/>
    </x:xf>
    <x:xf numFmtId="200" fontId="14" fillId="15" borderId="26" xfId="0" applyNumberFormat="1" applyFont="1" applyFill="1" applyBorder="1" applyAlignment="1">
      <x:alignment horizontal="center" vertical="center"/>
    </x:xf>
    <x:xf numFmtId="200" fontId="14" fillId="15" borderId="27" xfId="0" applyNumberFormat="1" applyFont="1" applyFill="1" applyBorder="1" applyAlignment="1">
      <x:alignment horizontal="center" vertical="center"/>
    </x:xf>
    <x:xf numFmtId="201" fontId="14" fillId="15" borderId="27" xfId="0" applyNumberFormat="1" applyFont="1" applyFill="1" applyBorder="1" applyAlignment="1">
      <x:alignment horizontal="center" vertical="center"/>
    </x:xf>
    <x:xf numFmtId="0" fontId="14" fillId="15" borderId="28" xfId="0" applyNumberFormat="1" applyFont="1" applyFill="1" applyBorder="1" applyAlignment="1">
      <x:alignment horizontal="center" vertical="center"/>
    </x:xf>
    <x:xf numFmtId="201" fontId="15" fillId="14" borderId="22" xfId="0" applyNumberFormat="1" applyFont="1" applyFill="1" applyBorder="1" applyAlignment="1">
      <x:alignment horizontal="center" vertical="center"/>
    </x:xf>
    <x:xf numFmtId="201" fontId="15" fillId="16" xfId="0" applyNumberFormat="1" applyFont="1" applyFill="1" applyBorder="0" applyAlignment="1">
      <x:alignment horizontal="center" vertical="center"/>
    </x:xf>
    <x:xf numFmtId="201" fontId="15" fillId="0" xfId="0" applyNumberFormat="1" applyFont="1" applyFill="1" applyBorder="0" applyAlignment="1">
      <x:alignment horizontal="center" vertical="center"/>
    </x:xf>
    <x:xf numFmtId="201" fontId="15" fillId="15" xfId="0" applyNumberFormat="1" applyFont="1" applyFill="1" applyBorder="0" applyAlignment="1">
      <x:alignment horizontal="center" vertical="center"/>
    </x:xf>
    <x:xf numFmtId="201" fontId="15" fillId="15" borderId="27" xfId="0" applyNumberFormat="1" applyFont="1" applyFill="1" applyBorder="1" applyAlignment="1">
      <x:alignment horizontal="center" vertical="center"/>
    </x:xf>
    <x:xf numFmtId="0" fontId="15" fillId="14" borderId="23" xfId="0" applyNumberFormat="1" applyFont="1" applyFill="1" applyBorder="1" applyAlignment="1">
      <x:alignment horizontal="center" vertical="center"/>
    </x:xf>
    <x:xf numFmtId="0" fontId="15" fillId="16" borderId="25" xfId="0" applyNumberFormat="1" applyFont="1" applyFill="1" applyBorder="1" applyAlignment="1">
      <x:alignment horizontal="center" vertical="center"/>
    </x:xf>
    <x:xf numFmtId="0" fontId="15" fillId="0" borderId="25" xfId="0" applyNumberFormat="1" applyFont="1" applyFill="1" applyBorder="1" applyAlignment="1">
      <x:alignment horizontal="center" vertical="center"/>
    </x:xf>
    <x:xf numFmtId="0" fontId="16" fillId="15" borderId="25" xfId="0" applyNumberFormat="1" applyFont="1" applyFill="1" applyBorder="1" applyAlignment="1">
      <x:alignment horizontal="center" vertical="center"/>
    </x:xf>
    <x:xf numFmtId="0" fontId="16" fillId="15" borderId="28" xfId="0" applyNumberFormat="1" applyFont="1" applyFill="1" applyBorder="1" applyAlignment="1">
      <x:alignment horizontal="center"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a9d83fadb9e42c9" /><Relationship Type="http://schemas.openxmlformats.org/officeDocument/2006/relationships/theme" Target="/xl/theme/theme1.xml" Id="Reb595b1bab074f7f" /><Relationship Type="http://schemas.openxmlformats.org/officeDocument/2006/relationships/sharedStrings" Target="/xl/sharedStrings.xml" Id="Re94aee8171cc4a3f" /><Relationship Type="http://schemas.openxmlformats.org/officeDocument/2006/relationships/worksheet" Target="/xl/worksheets/sheet1.xml" Id="R7884a375ad0145dc" /><Relationship Type="http://schemas.openxmlformats.org/officeDocument/2006/relationships/worksheet" Target="/xl/worksheets/sheet2.xml" Id="R6502c9f4d3174de6" /><Relationship Type="http://schemas.openxmlformats.org/officeDocument/2006/relationships/worksheet" Target="/xl/worksheets/sheet3.xml" Id="R170730913cb44ae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workbookViewId="0">
      <x:pane xSplit="1" ySplit="8" topLeftCell="B9" activePane="bottomRight" state="frozen"/>
    </x:sheetView>
  </x:sheetViews>
  <x:sheetFormatPr baseColWidth="8" defaultRowHeight="15"/>
  <x:cols>
    <x:col min="1" max="1" width="3" customWidth="1"/>
    <x:col min="2" max="2" width="13" customWidth="1"/>
    <x:col min="3" max="3" width="15" customWidth="1"/>
    <x:col min="4" max="4" width="15" customWidth="1"/>
    <x:col min="5" max="5" width="15" customWidth="1"/>
    <x:col min="6" max="6" width="15" customWidth="1"/>
  </x:cols>
  <x:sheetData>
    <x:row r="2" ht="26" customHeight="1">
      <x:c r="B2" s="1" t="inlineStr">
        <x:is>
          <x:t xml:space="preserve">Sound1 입력 음압 대비 ADC 출력 테이블</x:t>
        </x:is>
      </x:c>
    </x:row>
    <x:row r="4" ht="68" customHeight="1">
      <x:c r="B4" s="2" t="inlineStr">
        <x:is>
          <x:t xml:space="preserve">1.5세대와 Sound1 은 같은 스펙의 마이크를 쓴다. 그래서 1.5세대 테이블의 생성 규칙을 그대로 두고 Sound1 의 감쇠만 반영했다.
ADC = floor(262143 x 10^((dB SPL - 120 + 감쇠) / 20)),  262143 = 2^18 - 1  (1.5세대 표가 내림으로 만들어져 있다)
감쇠는 고음압 평탄 구간(80~110 dB SPL) 실측에서 구했다.  PCB 상태 -3.644 dB = 5 시료 평균 (참조용, 시험 대상이 아니다)
기구 조립 -8.293 dB = 실측 6 시료의 상·하한 중앙 (판정용).  시험 허용 오차 +-5 dB 는 이 표에서 정확히 한 칸 위/아래다.</x:t>
        </x:is>
      </x:c>
    </x:row>
    <x:row r="5"/>
    <x:row r="6"/>
    <x:row r="8" ht="34" customHeight="1">
      <x:c r="B8" s="3" t="inlineStr">
        <x:is>
          <x:t xml:space="preserve">음압
dB SPL</x:t>
        </x:is>
      </x:c>
      <x:c r="C8" s="3" t="inlineStr">
        <x:is>
          <x:t xml:space="preserve">1.5세대 ADC
(멤브레인 미적용)</x:t>
        </x:is>
      </x:c>
      <x:c r="D8" s="3" t="inlineStr">
        <x:is>
          <x:t xml:space="preserve">1.5세대 ADC
(멤브레인 고려)</x:t>
        </x:is>
      </x:c>
      <x:c r="E8" s="3" t="inlineStr">
        <x:is>
          <x:t xml:space="preserve">Sound1 ADC
(PCB 상태)</x:t>
        </x:is>
      </x:c>
      <x:c r="F8" s="3" t="inlineStr">
        <x:is>
          <x:t xml:space="preserve">Sound1 ADC
(기구 조립 상태)</x:t>
        </x:is>
      </x:c>
    </x:row>
    <x:row r="9">
      <x:c r="B9" s="4" t="n">
        <x:v>29</x:v>
      </x:c>
      <x:c r="C9" s="4" t="n">
        <x:v>7</x:v>
      </x:c>
      <x:c r="D9" s="4" t="n">
        <x:v>7</x:v>
      </x:c>
      <x:c r="E9" s="4" t="n">
        <x:v>4</x:v>
      </x:c>
      <x:c r="F9" s="4" t="n">
        <x:v>2</x:v>
      </x:c>
    </x:row>
    <x:row r="10">
      <x:c r="B10" s="4" t="n">
        <x:v>30</x:v>
      </x:c>
      <x:c r="C10" s="4" t="n">
        <x:v>8</x:v>
      </x:c>
      <x:c r="D10" s="4" t="n">
        <x:v>7</x:v>
      </x:c>
      <x:c r="E10" s="4" t="n">
        <x:v>5</x:v>
      </x:c>
      <x:c r="F10" s="4" t="n">
        <x:v>3</x:v>
      </x:c>
    </x:row>
    <x:row r="11">
      <x:c r="B11" s="4" t="n">
        <x:v>31</x:v>
      </x:c>
      <x:c r="C11" s="4" t="n">
        <x:v>9</x:v>
      </x:c>
      <x:c r="D11" s="4" t="n">
        <x:v>7</x:v>
      </x:c>
      <x:c r="E11" s="4" t="n">
        <x:v>6</x:v>
      </x:c>
      <x:c r="F11" s="4" t="n">
        <x:v>3</x:v>
      </x:c>
    </x:row>
    <x:row r="12">
      <x:c r="B12" s="4" t="n">
        <x:v>32</x:v>
      </x:c>
      <x:c r="C12" s="4" t="n">
        <x:v>10</x:v>
      </x:c>
      <x:c r="D12" s="4" t="n">
        <x:v>7</x:v>
      </x:c>
      <x:c r="E12" s="4" t="n">
        <x:v>6</x:v>
      </x:c>
      <x:c r="F12" s="4" t="n">
        <x:v>4</x:v>
      </x:c>
    </x:row>
    <x:row r="13">
      <x:c r="B13" s="4" t="n">
        <x:v>33</x:v>
      </x:c>
      <x:c r="C13" s="4" t="n">
        <x:v>11</x:v>
      </x:c>
      <x:c r="D13" s="4" t="n">
        <x:v>8</x:v>
      </x:c>
      <x:c r="E13" s="4" t="n">
        <x:v>7</x:v>
      </x:c>
      <x:c r="F13" s="4" t="n">
        <x:v>4</x:v>
      </x:c>
    </x:row>
    <x:row r="14">
      <x:c r="B14" s="4" t="n">
        <x:v>34</x:v>
      </x:c>
      <x:c r="C14" s="4" t="n">
        <x:v>13</x:v>
      </x:c>
      <x:c r="D14" s="4" t="n">
        <x:v>9</x:v>
      </x:c>
      <x:c r="E14" s="4" t="n">
        <x:v>8</x:v>
      </x:c>
      <x:c r="F14" s="4" t="n">
        <x:v>5</x:v>
      </x:c>
    </x:row>
    <x:row r="15">
      <x:c r="B15" s="4" t="n">
        <x:v>35</x:v>
      </x:c>
      <x:c r="C15" s="4" t="n">
        <x:v>14</x:v>
      </x:c>
      <x:c r="D15" s="4" t="n">
        <x:v>10</x:v>
      </x:c>
      <x:c r="E15" s="4" t="n">
        <x:v>9</x:v>
      </x:c>
      <x:c r="F15" s="4" t="n">
        <x:v>5</x:v>
      </x:c>
    </x:row>
    <x:row r="16">
      <x:c r="B16" s="4" t="n">
        <x:v>36</x:v>
      </x:c>
      <x:c r="C16" s="4" t="n">
        <x:v>16</x:v>
      </x:c>
      <x:c r="D16" s="4" t="n">
        <x:v>11</x:v>
      </x:c>
      <x:c r="E16" s="4" t="n">
        <x:v>10</x:v>
      </x:c>
      <x:c r="F16" s="4" t="n">
        <x:v>6</x:v>
      </x:c>
    </x:row>
    <x:row r="17">
      <x:c r="B17" s="4" t="n">
        <x:v>37</x:v>
      </x:c>
      <x:c r="C17" s="4" t="n">
        <x:v>18</x:v>
      </x:c>
      <x:c r="D17" s="4" t="n">
        <x:v>13</x:v>
      </x:c>
      <x:c r="E17" s="4" t="n">
        <x:v>12</x:v>
      </x:c>
      <x:c r="F17" s="4" t="n">
        <x:v>7</x:v>
      </x:c>
    </x:row>
    <x:row r="18">
      <x:c r="B18" s="4" t="n">
        <x:v>38</x:v>
      </x:c>
      <x:c r="C18" s="4" t="n">
        <x:v>20</x:v>
      </x:c>
      <x:c r="D18" s="4" t="n">
        <x:v>14</x:v>
      </x:c>
      <x:c r="E18" s="4" t="n">
        <x:v>13</x:v>
      </x:c>
      <x:c r="F18" s="4" t="n">
        <x:v>8</x:v>
      </x:c>
    </x:row>
    <x:row r="19">
      <x:c r="B19" s="4" t="n">
        <x:v>39</x:v>
      </x:c>
      <x:c r="C19" s="4" t="n">
        <x:v>23</x:v>
      </x:c>
      <x:c r="D19" s="4" t="n">
        <x:v>16</x:v>
      </x:c>
      <x:c r="E19" s="4" t="n">
        <x:v>15</x:v>
      </x:c>
      <x:c r="F19" s="4" t="n">
        <x:v>8</x:v>
      </x:c>
    </x:row>
    <x:row r="20">
      <x:c r="B20" s="4" t="n">
        <x:v>40</x:v>
      </x:c>
      <x:c r="C20" s="4" t="n">
        <x:v>26</x:v>
      </x:c>
      <x:c r="D20" s="4" t="n">
        <x:v>18</x:v>
      </x:c>
      <x:c r="E20" s="4" t="n">
        <x:v>17</x:v>
      </x:c>
      <x:c r="F20" s="4" t="n">
        <x:v>10</x:v>
      </x:c>
    </x:row>
    <x:row r="21">
      <x:c r="B21" s="4" t="n">
        <x:v>41</x:v>
      </x:c>
      <x:c r="C21" s="4" t="n">
        <x:v>29</x:v>
      </x:c>
      <x:c r="D21" s="4" t="n">
        <x:v>20</x:v>
      </x:c>
      <x:c r="E21" s="4" t="n">
        <x:v>19</x:v>
      </x:c>
      <x:c r="F21" s="4" t="n">
        <x:v>11</x:v>
      </x:c>
    </x:row>
    <x:row r="22">
      <x:c r="B22" s="4" t="n">
        <x:v>42</x:v>
      </x:c>
      <x:c r="C22" s="4" t="n">
        <x:v>33</x:v>
      </x:c>
      <x:c r="D22" s="4" t="n">
        <x:v>23</x:v>
      </x:c>
      <x:c r="E22" s="4" t="n">
        <x:v>21</x:v>
      </x:c>
      <x:c r="F22" s="4" t="n">
        <x:v>12</x:v>
      </x:c>
    </x:row>
    <x:row r="23">
      <x:c r="B23" s="4" t="n">
        <x:v>43</x:v>
      </x:c>
      <x:c r="C23" s="4" t="n">
        <x:v>37</x:v>
      </x:c>
      <x:c r="D23" s="4" t="n">
        <x:v>26</x:v>
      </x:c>
      <x:c r="E23" s="4" t="n">
        <x:v>24</x:v>
      </x:c>
      <x:c r="F23" s="4" t="n">
        <x:v>14</x:v>
      </x:c>
    </x:row>
    <x:row r="24">
      <x:c r="B24" s="4" t="n">
        <x:v>44</x:v>
      </x:c>
      <x:c r="C24" s="4" t="n">
        <x:v>41</x:v>
      </x:c>
      <x:c r="D24" s="4" t="n">
        <x:v>29</x:v>
      </x:c>
      <x:c r="E24" s="4" t="n">
        <x:v>27</x:v>
      </x:c>
      <x:c r="F24" s="4" t="n">
        <x:v>15</x:v>
      </x:c>
    </x:row>
    <x:row r="25">
      <x:c r="B25" s="4" t="n">
        <x:v>45</x:v>
      </x:c>
      <x:c r="C25" s="4" t="n">
        <x:v>46</x:v>
      </x:c>
      <x:c r="D25" s="4" t="n">
        <x:v>33</x:v>
      </x:c>
      <x:c r="E25" s="4" t="n">
        <x:v>30</x:v>
      </x:c>
      <x:c r="F25" s="4" t="n">
        <x:v>17</x:v>
      </x:c>
    </x:row>
    <x:row r="26">
      <x:c r="B26" s="4" t="n">
        <x:v>46</x:v>
      </x:c>
      <x:c r="C26" s="4" t="n">
        <x:v>52</x:v>
      </x:c>
      <x:c r="D26" s="4" t="n">
        <x:v>37</x:v>
      </x:c>
      <x:c r="E26" s="4" t="n">
        <x:v>34</x:v>
      </x:c>
      <x:c r="F26" s="4" t="n">
        <x:v>20</x:v>
      </x:c>
    </x:row>
    <x:row r="27">
      <x:c r="B27" s="4" t="n">
        <x:v>47</x:v>
      </x:c>
      <x:c r="C27" s="4" t="n">
        <x:v>58</x:v>
      </x:c>
      <x:c r="D27" s="4" t="n">
        <x:v>41</x:v>
      </x:c>
      <x:c r="E27" s="4" t="n">
        <x:v>38</x:v>
      </x:c>
      <x:c r="F27" s="4" t="n">
        <x:v>22</x:v>
      </x:c>
    </x:row>
    <x:row r="28">
      <x:c r="B28" s="4" t="n">
        <x:v>48</x:v>
      </x:c>
      <x:c r="C28" s="4" t="n">
        <x:v>65</x:v>
      </x:c>
      <x:c r="D28" s="4" t="n">
        <x:v>46</x:v>
      </x:c>
      <x:c r="E28" s="4" t="n">
        <x:v>43</x:v>
      </x:c>
      <x:c r="F28" s="4" t="n">
        <x:v>25</x:v>
      </x:c>
    </x:row>
    <x:row r="29">
      <x:c r="B29" s="4" t="n">
        <x:v>49</x:v>
      </x:c>
      <x:c r="C29" s="4" t="n">
        <x:v>73</x:v>
      </x:c>
      <x:c r="D29" s="4" t="n">
        <x:v>52</x:v>
      </x:c>
      <x:c r="E29" s="4" t="n">
        <x:v>48</x:v>
      </x:c>
      <x:c r="F29" s="4" t="n">
        <x:v>28</x:v>
      </x:c>
    </x:row>
    <x:row r="30">
      <x:c r="B30" s="4" t="n">
        <x:v>50</x:v>
      </x:c>
      <x:c r="C30" s="4" t="n">
        <x:v>83</x:v>
      </x:c>
      <x:c r="D30" s="4" t="n">
        <x:v>58</x:v>
      </x:c>
      <x:c r="E30" s="4" t="n">
        <x:v>54</x:v>
      </x:c>
      <x:c r="F30" s="4" t="n">
        <x:v>31</x:v>
      </x:c>
    </x:row>
    <x:row r="31">
      <x:c r="B31" s="4" t="n">
        <x:v>51</x:v>
      </x:c>
      <x:c r="C31" s="4" t="n">
        <x:v>93</x:v>
      </x:c>
      <x:c r="D31" s="4" t="n">
        <x:v>65</x:v>
      </x:c>
      <x:c r="E31" s="4" t="n">
        <x:v>61</x:v>
      </x:c>
      <x:c r="F31" s="4" t="n">
        <x:v>35</x:v>
      </x:c>
    </x:row>
    <x:row r="32">
      <x:c r="B32" s="4" t="n">
        <x:v>52</x:v>
      </x:c>
      <x:c r="C32" s="4" t="n">
        <x:v>104</x:v>
      </x:c>
      <x:c r="D32" s="4" t="n">
        <x:v>73</x:v>
      </x:c>
      <x:c r="E32" s="4" t="n">
        <x:v>68</x:v>
      </x:c>
      <x:c r="F32" s="4" t="n">
        <x:v>40</x:v>
      </x:c>
    </x:row>
    <x:row r="33">
      <x:c r="B33" s="4" t="n">
        <x:v>53</x:v>
      </x:c>
      <x:c r="C33" s="4" t="n">
        <x:v>116</x:v>
      </x:c>
      <x:c r="D33" s="4" t="n">
        <x:v>83</x:v>
      </x:c>
      <x:c r="E33" s="4" t="n">
        <x:v>76</x:v>
      </x:c>
      <x:c r="F33" s="4" t="n">
        <x:v>45</x:v>
      </x:c>
    </x:row>
    <x:row r="34">
      <x:c r="B34" s="4" t="n">
        <x:v>54</x:v>
      </x:c>
      <x:c r="C34" s="4" t="n">
        <x:v>131</x:v>
      </x:c>
      <x:c r="D34" s="4" t="n">
        <x:v>93</x:v>
      </x:c>
      <x:c r="E34" s="4" t="n">
        <x:v>86</x:v>
      </x:c>
      <x:c r="F34" s="4" t="n">
        <x:v>50</x:v>
      </x:c>
    </x:row>
    <x:row r="35">
      <x:c r="B35" s="4" t="n">
        <x:v>55</x:v>
      </x:c>
      <x:c r="C35" s="4" t="n">
        <x:v>147</x:v>
      </x:c>
      <x:c r="D35" s="4" t="n">
        <x:v>104</x:v>
      </x:c>
      <x:c r="E35" s="4" t="n">
        <x:v>96</x:v>
      </x:c>
      <x:c r="F35" s="4" t="n">
        <x:v>56</x:v>
      </x:c>
    </x:row>
    <x:row r="36">
      <x:c r="B36" s="4" t="n">
        <x:v>56</x:v>
      </x:c>
      <x:c r="C36" s="4" t="n">
        <x:v>165</x:v>
      </x:c>
      <x:c r="D36" s="4" t="n">
        <x:v>116</x:v>
      </x:c>
      <x:c r="E36" s="4" t="n">
        <x:v>108</x:v>
      </x:c>
      <x:c r="F36" s="4" t="n">
        <x:v>63</x:v>
      </x:c>
    </x:row>
    <x:row r="37">
      <x:c r="B37" s="4" t="n">
        <x:v>57</x:v>
      </x:c>
      <x:c r="C37" s="4" t="n">
        <x:v>185</x:v>
      </x:c>
      <x:c r="D37" s="4" t="n">
        <x:v>131</x:v>
      </x:c>
      <x:c r="E37" s="4" t="n">
        <x:v>121</x:v>
      </x:c>
      <x:c r="F37" s="4" t="n">
        <x:v>71</x:v>
      </x:c>
    </x:row>
    <x:row r="38">
      <x:c r="B38" s="4" t="n">
        <x:v>58</x:v>
      </x:c>
      <x:c r="C38" s="4" t="n">
        <x:v>208</x:v>
      </x:c>
      <x:c r="D38" s="4" t="n">
        <x:v>147</x:v>
      </x:c>
      <x:c r="E38" s="4" t="n">
        <x:v>136</x:v>
      </x:c>
      <x:c r="F38" s="4" t="n">
        <x:v>80</x:v>
      </x:c>
    </x:row>
    <x:row r="39">
      <x:c r="B39" s="4" t="n">
        <x:v>59</x:v>
      </x:c>
      <x:c r="C39" s="4" t="n">
        <x:v>233</x:v>
      </x:c>
      <x:c r="D39" s="4" t="n">
        <x:v>165</x:v>
      </x:c>
      <x:c r="E39" s="4" t="n">
        <x:v>153</x:v>
      </x:c>
      <x:c r="F39" s="4" t="n">
        <x:v>89</x:v>
      </x:c>
    </x:row>
    <x:row r="40">
      <x:c r="B40" s="4" t="n">
        <x:v>60</x:v>
      </x:c>
      <x:c r="C40" s="4" t="n">
        <x:v>262</x:v>
      </x:c>
      <x:c r="D40" s="4" t="n">
        <x:v>185</x:v>
      </x:c>
      <x:c r="E40" s="4" t="n">
        <x:v>172</x:v>
      </x:c>
      <x:c r="F40" s="4" t="n">
        <x:v>100</x:v>
      </x:c>
    </x:row>
    <x:row r="41">
      <x:c r="B41" s="4" t="n">
        <x:v>61</x:v>
      </x:c>
      <x:c r="C41" s="4" t="n">
        <x:v>294</x:v>
      </x:c>
      <x:c r="D41" s="4" t="n">
        <x:v>208</x:v>
      </x:c>
      <x:c r="E41" s="4" t="n">
        <x:v>193</x:v>
      </x:c>
      <x:c r="F41" s="4" t="n">
        <x:v>113</x:v>
      </x:c>
    </x:row>
    <x:row r="42">
      <x:c r="B42" s="4" t="n">
        <x:v>62</x:v>
      </x:c>
      <x:c r="C42" s="4" t="n">
        <x:v>330</x:v>
      </x:c>
      <x:c r="D42" s="4" t="n">
        <x:v>233</x:v>
      </x:c>
      <x:c r="E42" s="4" t="n">
        <x:v>216</x:v>
      </x:c>
      <x:c r="F42" s="4" t="n">
        <x:v>127</x:v>
      </x:c>
    </x:row>
    <x:row r="43">
      <x:c r="B43" s="4" t="n">
        <x:v>63</x:v>
      </x:c>
      <x:c r="C43" s="4" t="n">
        <x:v>370</x:v>
      </x:c>
      <x:c r="D43" s="4" t="n">
        <x:v>262</x:v>
      </x:c>
      <x:c r="E43" s="4" t="n">
        <x:v>243</x:v>
      </x:c>
      <x:c r="F43" s="4" t="n">
        <x:v>142</x:v>
      </x:c>
    </x:row>
    <x:row r="44">
      <x:c r="B44" s="4" t="n">
        <x:v>64</x:v>
      </x:c>
      <x:c r="C44" s="4" t="n">
        <x:v>415</x:v>
      </x:c>
      <x:c r="D44" s="4" t="n">
        <x:v>294</x:v>
      </x:c>
      <x:c r="E44" s="4" t="n">
        <x:v>273</x:v>
      </x:c>
      <x:c r="F44" s="4" t="n">
        <x:v>159</x:v>
      </x:c>
    </x:row>
    <x:row r="45">
      <x:c r="B45" s="4" t="n">
        <x:v>65</x:v>
      </x:c>
      <x:c r="C45" s="4" t="n">
        <x:v>466</x:v>
      </x:c>
      <x:c r="D45" s="4" t="n">
        <x:v>330</x:v>
      </x:c>
      <x:c r="E45" s="4" t="n">
        <x:v>306</x:v>
      </x:c>
      <x:c r="F45" s="4" t="n">
        <x:v>179</x:v>
      </x:c>
    </x:row>
    <x:row r="46">
      <x:c r="B46" s="4" t="n">
        <x:v>66</x:v>
      </x:c>
      <x:c r="C46" s="4" t="n">
        <x:v>523</x:v>
      </x:c>
      <x:c r="D46" s="4" t="n">
        <x:v>370</x:v>
      </x:c>
      <x:c r="E46" s="4" t="n">
        <x:v>343</x:v>
      </x:c>
      <x:c r="F46" s="4" t="n">
        <x:v>201</x:v>
      </x:c>
    </x:row>
    <x:row r="47">
      <x:c r="B47" s="4" t="n">
        <x:v>67</x:v>
      </x:c>
      <x:c r="C47" s="4" t="n">
        <x:v>586</x:v>
      </x:c>
      <x:c r="D47" s="4" t="n">
        <x:v>415</x:v>
      </x:c>
      <x:c r="E47" s="4" t="n">
        <x:v>385</x:v>
      </x:c>
      <x:c r="F47" s="4" t="n">
        <x:v>225</x:v>
      </x:c>
    </x:row>
    <x:row r="48">
      <x:c r="B48" s="4" t="n">
        <x:v>68</x:v>
      </x:c>
      <x:c r="C48" s="4" t="n">
        <x:v>658</x:v>
      </x:c>
      <x:c r="D48" s="4" t="n">
        <x:v>466</x:v>
      </x:c>
      <x:c r="E48" s="4" t="n">
        <x:v>432</x:v>
      </x:c>
      <x:c r="F48" s="4" t="n">
        <x:v>253</x:v>
      </x:c>
    </x:row>
    <x:row r="49">
      <x:c r="B49" s="4" t="n">
        <x:v>69</x:v>
      </x:c>
      <x:c r="C49" s="4" t="n">
        <x:v>738</x:v>
      </x:c>
      <x:c r="D49" s="4" t="n">
        <x:v>523</x:v>
      </x:c>
      <x:c r="E49" s="4" t="n">
        <x:v>485</x:v>
      </x:c>
      <x:c r="F49" s="4" t="n">
        <x:v>284</x:v>
      </x:c>
    </x:row>
    <x:row r="50">
      <x:c r="B50" s="4" t="n">
        <x:v>70</x:v>
      </x:c>
      <x:c r="C50" s="4" t="n">
        <x:v>828</x:v>
      </x:c>
      <x:c r="D50" s="4" t="n">
        <x:v>586</x:v>
      </x:c>
      <x:c r="E50" s="4" t="n">
        <x:v>544</x:v>
      </x:c>
      <x:c r="F50" s="4" t="n">
        <x:v>319</x:v>
      </x:c>
    </x:row>
    <x:row r="51">
      <x:c r="B51" s="4" t="n">
        <x:v>71</x:v>
      </x:c>
      <x:c r="C51" s="4" t="n">
        <x:v>930</x:v>
      </x:c>
      <x:c r="D51" s="4" t="n">
        <x:v>658</x:v>
      </x:c>
      <x:c r="E51" s="4" t="n">
        <x:v>611</x:v>
      </x:c>
      <x:c r="F51" s="4" t="n">
        <x:v>358</x:v>
      </x:c>
    </x:row>
    <x:row r="52">
      <x:c r="B52" s="4" t="n">
        <x:v>72</x:v>
      </x:c>
      <x:c r="C52" s="4" t="n">
        <x:v>1043</x:v>
      </x:c>
      <x:c r="D52" s="4" t="n">
        <x:v>738</x:v>
      </x:c>
      <x:c r="E52" s="4" t="n">
        <x:v>686</x:v>
      </x:c>
      <x:c r="F52" s="4" t="n">
        <x:v>401</x:v>
      </x:c>
    </x:row>
    <x:row r="53">
      <x:c r="B53" s="4" t="n">
        <x:v>73</x:v>
      </x:c>
      <x:c r="C53" s="4" t="n">
        <x:v>1170</x:v>
      </x:c>
      <x:c r="D53" s="4" t="n">
        <x:v>828</x:v>
      </x:c>
      <x:c r="E53" s="4" t="n">
        <x:v>769</x:v>
      </x:c>
      <x:c r="F53" s="4" t="n">
        <x:v>450</x:v>
      </x:c>
    </x:row>
    <x:row r="54">
      <x:c r="B54" s="4" t="n">
        <x:v>74</x:v>
      </x:c>
      <x:c r="C54" s="4" t="n">
        <x:v>1313</x:v>
      </x:c>
      <x:c r="D54" s="4" t="n">
        <x:v>930</x:v>
      </x:c>
      <x:c r="E54" s="4" t="n">
        <x:v>863</x:v>
      </x:c>
      <x:c r="F54" s="4" t="n">
        <x:v>505</x:v>
      </x:c>
    </x:row>
    <x:row r="55">
      <x:c r="B55" s="4" t="n">
        <x:v>75</x:v>
      </x:c>
      <x:c r="C55" s="4" t="n">
        <x:v>1474</x:v>
      </x:c>
      <x:c r="D55" s="4" t="n">
        <x:v>1043</x:v>
      </x:c>
      <x:c r="E55" s="4" t="n">
        <x:v>969</x:v>
      </x:c>
      <x:c r="F55" s="4" t="n">
        <x:v>567</x:v>
      </x:c>
    </x:row>
    <x:row r="56">
      <x:c r="B56" s="4" t="n">
        <x:v>76</x:v>
      </x:c>
      <x:c r="C56" s="4" t="n">
        <x:v>1654</x:v>
      </x:c>
      <x:c r="D56" s="4" t="n">
        <x:v>1170</x:v>
      </x:c>
      <x:c r="E56" s="4" t="n">
        <x:v>1087</x:v>
      </x:c>
      <x:c r="F56" s="4" t="n">
        <x:v>636</x:v>
      </x:c>
    </x:row>
    <x:row r="57">
      <x:c r="B57" s="4" t="n">
        <x:v>77</x:v>
      </x:c>
      <x:c r="C57" s="4" t="n">
        <x:v>1855</x:v>
      </x:c>
      <x:c r="D57" s="4" t="n">
        <x:v>1313</x:v>
      </x:c>
      <x:c r="E57" s="4" t="n">
        <x:v>1219</x:v>
      </x:c>
      <x:c r="F57" s="4" t="n">
        <x:v>714</x:v>
      </x:c>
    </x:row>
    <x:row r="58">
      <x:c r="B58" s="4" t="n">
        <x:v>78</x:v>
      </x:c>
      <x:c r="C58" s="4" t="n">
        <x:v>2082</x:v>
      </x:c>
      <x:c r="D58" s="4" t="n">
        <x:v>1474</x:v>
      </x:c>
      <x:c r="E58" s="4" t="n">
        <x:v>1368</x:v>
      </x:c>
      <x:c r="F58" s="4" t="n">
        <x:v>801</x:v>
      </x:c>
    </x:row>
    <x:row r="59">
      <x:c r="B59" s="4" t="n">
        <x:v>79</x:v>
      </x:c>
      <x:c r="C59" s="4" t="n">
        <x:v>2336</x:v>
      </x:c>
      <x:c r="D59" s="4" t="n">
        <x:v>1654</x:v>
      </x:c>
      <x:c r="E59" s="4" t="n">
        <x:v>1535</x:v>
      </x:c>
      <x:c r="F59" s="4" t="n">
        <x:v>899</x:v>
      </x:c>
    </x:row>
    <x:row r="60">
      <x:c r="B60" s="4" t="n">
        <x:v>80</x:v>
      </x:c>
      <x:c r="C60" s="4" t="n">
        <x:v>2621</x:v>
      </x:c>
      <x:c r="D60" s="4" t="n">
        <x:v>1855</x:v>
      </x:c>
      <x:c r="E60" s="4" t="n">
        <x:v>1723</x:v>
      </x:c>
      <x:c r="F60" s="4" t="n">
        <x:v>1008</x:v>
      </x:c>
    </x:row>
    <x:row r="61">
      <x:c r="B61" s="4" t="n">
        <x:v>81</x:v>
      </x:c>
      <x:c r="C61" s="4" t="n">
        <x:v>2941</x:v>
      </x:c>
      <x:c r="D61" s="4" t="n">
        <x:v>2082</x:v>
      </x:c>
      <x:c r="E61" s="4" t="n">
        <x:v>1933</x:v>
      </x:c>
      <x:c r="F61" s="4" t="n">
        <x:v>1132</x:v>
      </x:c>
    </x:row>
    <x:row r="62">
      <x:c r="B62" s="4" t="n">
        <x:v>82</x:v>
      </x:c>
      <x:c r="C62" s="4" t="n">
        <x:v>3300</x:v>
      </x:c>
      <x:c r="D62" s="4" t="n">
        <x:v>2336</x:v>
      </x:c>
      <x:c r="E62" s="4" t="n">
        <x:v>2169</x:v>
      </x:c>
      <x:c r="F62" s="4" t="n">
        <x:v>1270</x:v>
      </x:c>
    </x:row>
    <x:row r="63">
      <x:c r="B63" s="4" t="n">
        <x:v>83</x:v>
      </x:c>
      <x:c r="C63" s="4" t="n">
        <x:v>3702</x:v>
      </x:c>
      <x:c r="D63" s="4" t="n">
        <x:v>2621</x:v>
      </x:c>
      <x:c r="E63" s="4" t="n">
        <x:v>2434</x:v>
      </x:c>
      <x:c r="F63" s="4" t="n">
        <x:v>1425</x:v>
      </x:c>
    </x:row>
    <x:row r="64">
      <x:c r="B64" s="4" t="n">
        <x:v>84</x:v>
      </x:c>
      <x:c r="C64" s="4" t="n">
        <x:v>4154</x:v>
      </x:c>
      <x:c r="D64" s="4" t="n">
        <x:v>2941</x:v>
      </x:c>
      <x:c r="E64" s="4" t="n">
        <x:v>2731</x:v>
      </x:c>
      <x:c r="F64" s="4" t="n">
        <x:v>1599</x:v>
      </x:c>
    </x:row>
    <x:row r="65">
      <x:c r="B65" s="4" t="n">
        <x:v>85</x:v>
      </x:c>
      <x:c r="C65" s="4" t="n">
        <x:v>4661</x:v>
      </x:c>
      <x:c r="D65" s="4" t="n">
        <x:v>3300</x:v>
      </x:c>
      <x:c r="E65" s="4" t="n">
        <x:v>3064</x:v>
      </x:c>
      <x:c r="F65" s="4" t="n">
        <x:v>1794</x:v>
      </x:c>
    </x:row>
    <x:row r="66">
      <x:c r="B66" s="4" t="n">
        <x:v>86</x:v>
      </x:c>
      <x:c r="C66" s="4" t="n">
        <x:v>5230</x:v>
      </x:c>
      <x:c r="D66" s="4" t="n">
        <x:v>3702</x:v>
      </x:c>
      <x:c r="E66" s="4" t="n">
        <x:v>3438</x:v>
      </x:c>
      <x:c r="F66" s="4" t="n">
        <x:v>2013</x:v>
      </x:c>
    </x:row>
    <x:row r="67">
      <x:c r="B67" s="4" t="n">
        <x:v>87</x:v>
      </x:c>
      <x:c r="C67" s="4" t="n">
        <x:v>5868</x:v>
      </x:c>
      <x:c r="D67" s="4" t="n">
        <x:v>4154</x:v>
      </x:c>
      <x:c r="E67" s="4" t="n">
        <x:v>3857</x:v>
      </x:c>
      <x:c r="F67" s="4" t="n">
        <x:v>2258</x:v>
      </x:c>
    </x:row>
    <x:row r="68">
      <x:c r="B68" s="4" t="n">
        <x:v>88</x:v>
      </x:c>
      <x:c r="C68" s="4" t="n">
        <x:v>6564</x:v>
      </x:c>
      <x:c r="D68" s="4" t="n">
        <x:v>4661</x:v>
      </x:c>
      <x:c r="E68" s="4" t="n">
        <x:v>4328</x:v>
      </x:c>
      <x:c r="F68" s="4" t="n">
        <x:v>2534</x:v>
      </x:c>
    </x:row>
    <x:row r="69">
      <x:c r="B69" s="4" t="n">
        <x:v>89</x:v>
      </x:c>
      <x:c r="C69" s="4" t="n">
        <x:v>7388</x:v>
      </x:c>
      <x:c r="D69" s="4" t="n">
        <x:v>5230</x:v>
      </x:c>
      <x:c r="E69" s="4" t="n">
        <x:v>4856</x:v>
      </x:c>
      <x:c r="F69" s="4" t="n">
        <x:v>2843</x:v>
      </x:c>
    </x:row>
    <x:row r="70">
      <x:c r="B70" s="4" t="n">
        <x:v>90</x:v>
      </x:c>
      <x:c r="C70" s="4" t="n">
        <x:v>8289</x:v>
      </x:c>
      <x:c r="D70" s="4" t="n">
        <x:v>5868</x:v>
      </x:c>
      <x:c r="E70" s="4" t="n">
        <x:v>5449</x:v>
      </x:c>
      <x:c r="F70" s="4" t="n">
        <x:v>3190</x:v>
      </x:c>
    </x:row>
    <x:row r="71">
      <x:c r="B71" s="4" t="n">
        <x:v>91</x:v>
      </x:c>
      <x:c r="C71" s="4" t="n">
        <x:v>9301</x:v>
      </x:c>
      <x:c r="D71" s="4" t="n">
        <x:v>6564</x:v>
      </x:c>
      <x:c r="E71" s="4" t="n">
        <x:v>6114</x:v>
      </x:c>
      <x:c r="F71" s="4" t="n">
        <x:v>3580</x:v>
      </x:c>
    </x:row>
    <x:row r="72">
      <x:c r="B72" s="4" t="n">
        <x:v>92</x:v>
      </x:c>
      <x:c r="C72" s="4" t="n">
        <x:v>10436</x:v>
      </x:c>
      <x:c r="D72" s="4" t="n">
        <x:v>7388</x:v>
      </x:c>
      <x:c r="E72" s="4" t="n">
        <x:v>6860</x:v>
      </x:c>
      <x:c r="F72" s="4" t="n">
        <x:v>4016</x:v>
      </x:c>
    </x:row>
    <x:row r="73">
      <x:c r="B73" s="4" t="n">
        <x:v>93</x:v>
      </x:c>
      <x:c r="C73" s="4" t="n">
        <x:v>11709</x:v>
      </x:c>
      <x:c r="D73" s="4" t="n">
        <x:v>8289</x:v>
      </x:c>
      <x:c r="E73" s="4" t="n">
        <x:v>7697</x:v>
      </x:c>
      <x:c r="F73" s="4" t="n">
        <x:v>4507</x:v>
      </x:c>
    </x:row>
    <x:row r="74">
      <x:c r="B74" s="4" t="n">
        <x:v>94</x:v>
      </x:c>
      <x:c r="C74" s="4" t="n">
        <x:v>13138</x:v>
      </x:c>
      <x:c r="D74" s="4" t="n">
        <x:v>9301</x:v>
      </x:c>
      <x:c r="E74" s="4" t="n">
        <x:v>8636</x:v>
      </x:c>
      <x:c r="F74" s="4" t="n">
        <x:v>5056</x:v>
      </x:c>
    </x:row>
    <x:row r="75">
      <x:c r="B75" s="4" t="n">
        <x:v>95</x:v>
      </x:c>
      <x:c r="C75" s="4" t="n">
        <x:v>14741</x:v>
      </x:c>
      <x:c r="D75" s="4" t="n">
        <x:v>10436</x:v>
      </x:c>
      <x:c r="E75" s="4" t="n">
        <x:v>9690</x:v>
      </x:c>
      <x:c r="F75" s="4" t="n">
        <x:v>5673</x:v>
      </x:c>
    </x:row>
    <x:row r="76">
      <x:c r="B76" s="4" t="n">
        <x:v>96</x:v>
      </x:c>
      <x:c r="C76" s="4" t="n">
        <x:v>16540</x:v>
      </x:c>
      <x:c r="D76" s="4" t="n">
        <x:v>11709</x:v>
      </x:c>
      <x:c r="E76" s="4" t="n">
        <x:v>10872</x:v>
      </x:c>
      <x:c r="F76" s="4" t="n">
        <x:v>6366</x:v>
      </x:c>
    </x:row>
    <x:row r="77">
      <x:c r="B77" s="4" t="n">
        <x:v>97</x:v>
      </x:c>
      <x:c r="C77" s="4" t="n">
        <x:v>18558</x:v>
      </x:c>
      <x:c r="D77" s="4" t="n">
        <x:v>13138</x:v>
      </x:c>
      <x:c r="E77" s="4" t="n">
        <x:v>12199</x:v>
      </x:c>
      <x:c r="F77" s="4" t="n">
        <x:v>7143</x:v>
      </x:c>
    </x:row>
    <x:row r="78">
      <x:c r="B78" s="4" t="n">
        <x:v>98</x:v>
      </x:c>
      <x:c r="C78" s="4" t="n">
        <x:v>20822</x:v>
      </x:c>
      <x:c r="D78" s="4" t="n">
        <x:v>14741</x:v>
      </x:c>
      <x:c r="E78" s="4" t="n">
        <x:v>13687</x:v>
      </x:c>
      <x:c r="F78" s="4" t="n">
        <x:v>8014</x:v>
      </x:c>
    </x:row>
    <x:row r="79">
      <x:c r="B79" s="4" t="n">
        <x:v>99</x:v>
      </x:c>
      <x:c r="C79" s="4" t="n">
        <x:v>23363</x:v>
      </x:c>
      <x:c r="D79" s="4" t="n">
        <x:v>16540</x:v>
      </x:c>
      <x:c r="E79" s="4" t="n">
        <x:v>15358</x:v>
      </x:c>
      <x:c r="F79" s="4" t="n">
        <x:v>8992</x:v>
      </x:c>
    </x:row>
    <x:row r="80">
      <x:c r="B80" s="4" t="n">
        <x:v>100</x:v>
      </x:c>
      <x:c r="C80" s="4" t="n">
        <x:v>26214</x:v>
      </x:c>
      <x:c r="D80" s="4" t="n">
        <x:v>18558</x:v>
      </x:c>
      <x:c r="E80" s="4" t="n">
        <x:v>17232</x:v>
      </x:c>
      <x:c r="F80" s="4" t="n">
        <x:v>10089</x:v>
      </x:c>
    </x:row>
    <x:row r="81">
      <x:c r="B81" s="4" t="n">
        <x:v>101</x:v>
      </x:c>
      <x:c r="C81" s="4" t="n">
        <x:v>29413</x:v>
      </x:c>
      <x:c r="D81" s="4" t="n">
        <x:v>20822</x:v>
      </x:c>
      <x:c r="E81" s="4" t="n">
        <x:v>19334</x:v>
      </x:c>
      <x:c r="F81" s="4" t="n">
        <x:v>11321</x:v>
      </x:c>
    </x:row>
    <x:row r="82">
      <x:c r="B82" s="4" t="n">
        <x:v>102</x:v>
      </x:c>
      <x:c r="C82" s="4" t="n">
        <x:v>33001</x:v>
      </x:c>
      <x:c r="D82" s="4" t="n">
        <x:v>23363</x:v>
      </x:c>
      <x:c r="E82" s="4" t="n">
        <x:v>21693</x:v>
      </x:c>
      <x:c r="F82" s="4" t="n">
        <x:v>12702</x:v>
      </x:c>
    </x:row>
    <x:row r="83">
      <x:c r="B83" s="4" t="n">
        <x:v>103</x:v>
      </x:c>
      <x:c r="C83" s="4" t="n">
        <x:v>37028</x:v>
      </x:c>
      <x:c r="D83" s="4" t="n">
        <x:v>26214</x:v>
      </x:c>
      <x:c r="E83" s="4" t="n">
        <x:v>24340</x:v>
      </x:c>
      <x:c r="F83" s="4" t="n">
        <x:v>14252</x:v>
      </x:c>
    </x:row>
    <x:row r="84">
      <x:c r="B84" s="4" t="n">
        <x:v>104</x:v>
      </x:c>
      <x:c r="C84" s="4" t="n">
        <x:v>41547</x:v>
      </x:c>
      <x:c r="D84" s="4" t="n">
        <x:v>29413</x:v>
      </x:c>
      <x:c r="E84" s="4" t="n">
        <x:v>27311</x:v>
      </x:c>
      <x:c r="F84" s="4" t="n">
        <x:v>15991</x:v>
      </x:c>
    </x:row>
    <x:row r="85">
      <x:c r="B85" s="4" t="n">
        <x:v>105</x:v>
      </x:c>
      <x:c r="C85" s="4" t="n">
        <x:v>46616</x:v>
      </x:c>
      <x:c r="D85" s="4" t="n">
        <x:v>33001</x:v>
      </x:c>
      <x:c r="E85" s="4" t="n">
        <x:v>30643</x:v>
      </x:c>
      <x:c r="F85" s="4" t="n">
        <x:v>17942</x:v>
      </x:c>
    </x:row>
    <x:row r="86">
      <x:c r="B86" s="4" t="n">
        <x:v>106</x:v>
      </x:c>
      <x:c r="C86" s="4" t="n">
        <x:v>52304</x:v>
      </x:c>
      <x:c r="D86" s="4" t="n">
        <x:v>37028</x:v>
      </x:c>
      <x:c r="E86" s="4" t="n">
        <x:v>34382</x:v>
      </x:c>
      <x:c r="F86" s="4" t="n">
        <x:v>20132</x:v>
      </x:c>
    </x:row>
    <x:row r="87">
      <x:c r="B87" s="4" t="n">
        <x:v>107</x:v>
      </x:c>
      <x:c r="C87" s="4" t="n">
        <x:v>58686</x:v>
      </x:c>
      <x:c r="D87" s="4" t="n">
        <x:v>41547</x:v>
      </x:c>
      <x:c r="E87" s="4" t="n">
        <x:v>38577</x:v>
      </x:c>
      <x:c r="F87" s="4" t="n">
        <x:v>22588</x:v>
      </x:c>
    </x:row>
    <x:row r="88">
      <x:c r="B88" s="4" t="n">
        <x:v>108</x:v>
      </x:c>
      <x:c r="C88" s="4" t="n">
        <x:v>65847</x:v>
      </x:c>
      <x:c r="D88" s="4" t="n">
        <x:v>46616</x:v>
      </x:c>
      <x:c r="E88" s="4" t="n">
        <x:v>43285</x:v>
      </x:c>
      <x:c r="F88" s="4" t="n">
        <x:v>25344</x:v>
      </x:c>
    </x:row>
    <x:row r="89">
      <x:c r="B89" s="4" t="n">
        <x:v>109</x:v>
      </x:c>
      <x:c r="C89" s="4" t="n">
        <x:v>73882</x:v>
      </x:c>
      <x:c r="D89" s="4" t="n">
        <x:v>52304</x:v>
      </x:c>
      <x:c r="E89" s="4" t="n">
        <x:v>48566</x:v>
      </x:c>
      <x:c r="F89" s="4" t="n">
        <x:v>28437</x:v>
      </x:c>
    </x:row>
    <x:row r="90">
      <x:c r="B90" s="4" t="n">
        <x:v>110</x:v>
      </x:c>
      <x:c r="C90" s="4" t="n">
        <x:v>82897</x:v>
      </x:c>
      <x:c r="D90" s="4" t="n">
        <x:v>58686</x:v>
      </x:c>
      <x:c r="E90" s="4" t="n">
        <x:v>54492</x:v>
      </x:c>
      <x:c r="F90" s="4" t="n">
        <x:v>31907</x:v>
      </x:c>
    </x:row>
    <x:row r="91">
      <x:c r="B91" s="4" t="n">
        <x:v>111</x:v>
      </x:c>
      <x:c r="C91" s="4" t="n">
        <x:v>93012</x:v>
      </x:c>
      <x:c r="D91" s="4" t="n">
        <x:v>65847</x:v>
      </x:c>
      <x:c r="E91" s="4" t="n">
        <x:v>61141</x:v>
      </x:c>
      <x:c r="F91" s="4" t="n">
        <x:v>35800</x:v>
      </x:c>
    </x:row>
    <x:row r="92">
      <x:c r="B92" s="4" t="n">
        <x:v>112</x:v>
      </x:c>
      <x:c r="C92" s="4" t="n">
        <x:v>104361</x:v>
      </x:c>
      <x:c r="D92" s="4" t="n">
        <x:v>73882</x:v>
      </x:c>
      <x:c r="E92" s="4" t="n">
        <x:v>68602</x:v>
      </x:c>
      <x:c r="F92" s="4" t="n">
        <x:v>40168</x:v>
      </x:c>
    </x:row>
    <x:row r="93">
      <x:c r="B93" s="4" t="n">
        <x:v>113</x:v>
      </x:c>
      <x:c r="C93" s="4" t="n">
        <x:v>117095</x:v>
      </x:c>
      <x:c r="D93" s="4" t="n">
        <x:v>82897</x:v>
      </x:c>
      <x:c r="E93" s="4" t="n">
        <x:v>76972</x:v>
      </x:c>
      <x:c r="F93" s="4" t="n">
        <x:v>45070</x:v>
      </x:c>
    </x:row>
    <x:row r="94">
      <x:c r="B94" s="4" t="n">
        <x:v>114</x:v>
      </x:c>
      <x:c r="C94" s="4" t="n">
        <x:v>131383</x:v>
      </x:c>
      <x:c r="D94" s="4" t="n">
        <x:v>93012</x:v>
      </x:c>
      <x:c r="E94" s="4" t="n">
        <x:v>86365</x:v>
      </x:c>
      <x:c r="F94" s="4" t="n">
        <x:v>50569</x:v>
      </x:c>
    </x:row>
    <x:row r="95">
      <x:c r="B95" s="4" t="n">
        <x:v>115</x:v>
      </x:c>
      <x:c r="C95" s="4" t="n">
        <x:v>147414</x:v>
      </x:c>
      <x:c r="D95" s="4" t="n">
        <x:v>104361</x:v>
      </x:c>
      <x:c r="E95" s="4" t="n">
        <x:v>96903</x:v>
      </x:c>
      <x:c r="F95" s="4" t="n">
        <x:v>56739</x:v>
      </x:c>
    </x:row>
    <x:row r="96">
      <x:c r="B96" s="4" t="n">
        <x:v>116</x:v>
      </x:c>
      <x:c r="C96" s="4" t="n">
        <x:v>165401</x:v>
      </x:c>
      <x:c r="D96" s="4" t="n">
        <x:v>117095</x:v>
      </x:c>
      <x:c r="E96" s="4" t="n">
        <x:v>108727</x:v>
      </x:c>
      <x:c r="F96" s="4" t="n">
        <x:v>63663</x:v>
      </x:c>
    </x:row>
    <x:row r="97">
      <x:c r="B97" s="4" t="n">
        <x:v>117</x:v>
      </x:c>
      <x:c r="C97" s="4" t="n">
        <x:v>185583</x:v>
      </x:c>
      <x:c r="D97" s="4" t="n">
        <x:v>131383</x:v>
      </x:c>
      <x:c r="E97" s="4" t="n">
        <x:v>121993</x:v>
      </x:c>
      <x:c r="F97" s="4" t="n">
        <x:v>71431</x:v>
      </x:c>
    </x:row>
    <x:row r="98">
      <x:c r="B98" s="4" t="n">
        <x:v>118</x:v>
      </x:c>
      <x:c r="C98" s="4" t="n">
        <x:v>208228</x:v>
      </x:c>
      <x:c r="D98" s="4" t="n">
        <x:v>147414</x:v>
      </x:c>
      <x:c r="E98" s="4" t="n">
        <x:v>136879</x:v>
      </x:c>
      <x:c r="F98" s="4" t="n">
        <x:v>80147</x:v>
      </x:c>
    </x:row>
    <x:row r="99">
      <x:c r="B99" s="4" t="n">
        <x:v>119</x:v>
      </x:c>
      <x:c r="C99" s="4" t="n">
        <x:v>233636</x:v>
      </x:c>
      <x:c r="D99" s="4" t="n">
        <x:v>165401</x:v>
      </x:c>
      <x:c r="E99" s="4" t="n">
        <x:v>153581</x:v>
      </x:c>
      <x:c r="F99" s="4" t="n">
        <x:v>89926</x:v>
      </x:c>
    </x:row>
    <x:row r="100">
      <x:c r="B100" s="4" t="n">
        <x:v>120</x:v>
      </x:c>
      <x:c r="C100" s="4" t="n">
        <x:v>262143</x:v>
      </x:c>
      <x:c r="D100" s="4" t="n">
        <x:v>185583</x:v>
      </x:c>
      <x:c r="E100" s="4" t="n">
        <x:v>172321</x:v>
      </x:c>
      <x:c r="F100" s="4" t="n">
        <x:v>100899</x:v>
      </x:c>
    </x:row>
  </x:sheetData>
  <x:mergeCells>
    <x:mergeCell ref="B2:F2"/>
    <x:mergeCell ref="B4:F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3" customWidth="1"/>
    <x:col min="2" max="2" width="16" customWidth="1"/>
    <x:col min="3" max="3" width="10" customWidth="1"/>
    <x:col min="4" max="4" width="12" customWidth="1"/>
    <x:col min="5" max="5" width="10" customWidth="1"/>
    <x:col min="6" max="6" width="12" customWidth="1"/>
    <x:col min="7" max="7" width="40" customWidth="1"/>
  </x:cols>
  <x:sheetData>
    <x:row r="2">
      <x:c r="B2" s="5" t="inlineStr">
        <x:is>
          <x:t xml:space="preserve">시료별 실측 감쇠 (1.5세대 멤브레인 미적용 대비)</x:t>
        </x:is>
      </x:c>
    </x:row>
    <x:row r="4">
      <x:c r="B4" s="3" t="inlineStr">
        <x:is>
          <x:t xml:space="preserve">시료</x:t>
        </x:is>
      </x:c>
      <x:c r="C4" s="3" t="inlineStr">
        <x:is>
          <x:t xml:space="preserve">그룹</x:t>
        </x:is>
      </x:c>
      <x:c r="D4" s="3" t="inlineStr">
        <x:is>
          <x:t xml:space="preserve">평탄 평균</x:t>
        </x:is>
      </x:c>
      <x:c r="E4" s="3" t="inlineStr">
        <x:is>
          <x:t xml:space="preserve">표본 수</x:t>
        </x:is>
      </x:c>
      <x:c r="F4" s="3" t="inlineStr">
        <x:is>
          <x:t xml:space="preserve">구간 편차</x:t>
        </x:is>
      </x:c>
      <x:c r="G4" s="3" t="inlineStr">
        <x:is>
          <x:t xml:space="preserve">비고</x:t>
        </x:is>
      </x:c>
    </x:row>
    <x:row r="5">
      <x:c r="B5" s="4" t="inlineStr">
        <x:is>
          <x:t xml:space="preserve">501C</x:t>
        </x:is>
      </x:c>
      <x:c r="C5" s="4" t="inlineStr">
        <x:is>
          <x:t xml:space="preserve">PCB</x:t>
        </x:is>
      </x:c>
      <x:c r="D5" s="4" t="n">
        <x:v>-3.63</x:v>
      </x:c>
      <x:c r="E5" s="4" t="n">
        <x:v>7</x:v>
      </x:c>
      <x:c r="F5" s="4" t="n">
        <x:v>0.32</x:v>
      </x:c>
      <x:c r="G5" s="6" t="inlineStr">
        <x:is>
          <x:t xml:space="preserve"/>
        </x:is>
      </x:c>
    </x:row>
    <x:row r="6">
      <x:c r="B6" s="4" t="inlineStr">
        <x:is>
          <x:t xml:space="preserve">501D</x:t>
        </x:is>
      </x:c>
      <x:c r="C6" s="4" t="inlineStr">
        <x:is>
          <x:t xml:space="preserve">PCB</x:t>
        </x:is>
      </x:c>
      <x:c r="D6" s="4" t="n">
        <x:v>-3.68</x:v>
      </x:c>
      <x:c r="E6" s="4" t="n">
        <x:v>7</x:v>
      </x:c>
      <x:c r="F6" s="4" t="n">
        <x:v>0.49</x:v>
      </x:c>
      <x:c r="G6" s="6" t="inlineStr">
        <x:is>
          <x:t xml:space="preserve"/>
        </x:is>
      </x:c>
    </x:row>
    <x:row r="7">
      <x:c r="B7" s="4" t="inlineStr">
        <x:is>
          <x:t xml:space="preserve">501E</x:t>
        </x:is>
      </x:c>
      <x:c r="C7" s="4" t="inlineStr">
        <x:is>
          <x:t xml:space="preserve">PCB</x:t>
        </x:is>
      </x:c>
      <x:c r="D7" s="4" t="n">
        <x:v>-3.75</x:v>
      </x:c>
      <x:c r="E7" s="4" t="n">
        <x:v>7</x:v>
      </x:c>
      <x:c r="F7" s="4" t="n">
        <x:v>0.31</x:v>
      </x:c>
      <x:c r="G7" s="6" t="inlineStr">
        <x:is>
          <x:t xml:space="preserve"/>
        </x:is>
      </x:c>
    </x:row>
    <x:row r="8">
      <x:c r="B8" s="4" t="inlineStr">
        <x:is>
          <x:t xml:space="preserve">501F</x:t>
        </x:is>
      </x:c>
      <x:c r="C8" s="4" t="inlineStr">
        <x:is>
          <x:t xml:space="preserve">PCB</x:t>
        </x:is>
      </x:c>
      <x:c r="D8" s="4" t="n">
        <x:v>-3.57</x:v>
      </x:c>
      <x:c r="E8" s="4" t="n">
        <x:v>7</x:v>
      </x:c>
      <x:c r="F8" s="4" t="n">
        <x:v>0.43</x:v>
      </x:c>
      <x:c r="G8" s="6" t="inlineStr">
        <x:is>
          <x:t xml:space="preserve"/>
        </x:is>
      </x:c>
    </x:row>
    <x:row r="9">
      <x:c r="B9" s="4" t="inlineStr">
        <x:is>
          <x:t xml:space="preserve">5020</x:t>
        </x:is>
      </x:c>
      <x:c r="C9" s="4" t="inlineStr">
        <x:is>
          <x:t xml:space="preserve">PCB</x:t>
        </x:is>
      </x:c>
      <x:c r="D9" s="4" t="n">
        <x:v>-3.6</x:v>
      </x:c>
      <x:c r="E9" s="4" t="n">
        <x:v>7</x:v>
      </x:c>
      <x:c r="F9" s="4" t="n">
        <x:v>0.65</x:v>
      </x:c>
      <x:c r="G9" s="6" t="inlineStr">
        <x:is>
          <x:t xml:space="preserve"/>
        </x:is>
      </x:c>
    </x:row>
    <x:row r="10">
      <x:c r="B10" s="4" t="inlineStr">
        <x:is>
          <x:t xml:space="preserve">500A</x:t>
        </x:is>
      </x:c>
      <x:c r="C10" s="4" t="inlineStr">
        <x:is>
          <x:t xml:space="preserve">기구</x:t>
        </x:is>
      </x:c>
      <x:c r="D10" s="4" t="n">
        <x:v>-5.97</x:v>
      </x:c>
      <x:c r="E10" s="4" t="n">
        <x:v>7</x:v>
      </x:c>
      <x:c r="F10" s="4" t="n">
        <x:v>0.57</x:v>
      </x:c>
      <x:c r="G10" s="6" t="inlineStr">
        <x:is>
          <x:t xml:space="preserve"/>
        </x:is>
      </x:c>
    </x:row>
    <x:row r="11">
      <x:c r="B11" s="4" t="inlineStr">
        <x:is>
          <x:t xml:space="preserve">500E</x:t>
        </x:is>
      </x:c>
      <x:c r="C11" s="4" t="inlineStr">
        <x:is>
          <x:t xml:space="preserve">기구</x:t>
        </x:is>
      </x:c>
      <x:c r="D11" s="4" t="n">
        <x:v>-5.15</x:v>
      </x:c>
      <x:c r="E11" s="4" t="n">
        <x:v>7</x:v>
      </x:c>
      <x:c r="F11" s="4" t="n">
        <x:v>0.2</x:v>
      </x:c>
      <x:c r="G11" s="6" t="inlineStr">
        <x:is>
          <x:t xml:space="preserve">기구 조립 실측 최고. 판정 기준의 «상한» 이 된다</x:t>
        </x:is>
      </x:c>
    </x:row>
    <x:row r="12">
      <x:c r="B12" s="4" t="inlineStr">
        <x:is>
          <x:t xml:space="preserve">500F</x:t>
        </x:is>
      </x:c>
      <x:c r="C12" s="4" t="inlineStr">
        <x:is>
          <x:t xml:space="preserve">기구</x:t>
        </x:is>
      </x:c>
      <x:c r="D12" s="4" t="n">
        <x:v>-5.65</x:v>
      </x:c>
      <x:c r="E12" s="4" t="n">
        <x:v>7</x:v>
      </x:c>
      <x:c r="F12" s="4" t="n">
        <x:v>0.33</x:v>
      </x:c>
      <x:c r="G12" s="6" t="inlineStr">
        <x:is>
          <x:t xml:space="preserve"/>
        </x:is>
      </x:c>
    </x:row>
    <x:row r="13">
      <x:c r="B13" s="4" t="inlineStr">
        <x:is>
          <x:t xml:space="preserve">500D</x:t>
        </x:is>
      </x:c>
      <x:c r="C13" s="4" t="inlineStr">
        <x:is>
          <x:t xml:space="preserve">기구</x:t>
        </x:is>
      </x:c>
      <x:c r="D13" s="4" t="n">
        <x:v>-6.76</x:v>
      </x:c>
      <x:c r="E13" s="4" t="n">
        <x:v>7</x:v>
      </x:c>
      <x:c r="F13" s="4" t="n">
        <x:v>0.45</x:v>
      </x:c>
      <x:c r="G13" s="6" t="inlineStr">
        <x:is>
          <x:t xml:space="preserve">다른 기구 시료보다 낮다. 제외하지 않고 판정 범위 안에 담았다</x:t>
        </x:is>
      </x:c>
    </x:row>
    <x:row r="14">
      <x:c r="B14" s="4" t="inlineStr">
        <x:is>
          <x:t xml:space="preserve">500C-2차</x:t>
        </x:is>
      </x:c>
      <x:c r="C14" s="4" t="inlineStr">
        <x:is>
          <x:t xml:space="preserve">기구</x:t>
        </x:is>
      </x:c>
      <x:c r="D14" s="4" t="n">
        <x:v>-7.48</x:v>
      </x:c>
      <x:c r="E14" s="4" t="n">
        <x:v>4</x:v>
      </x:c>
      <x:c r="F14" s="4" t="n">
        <x:v>0.66</x:v>
      </x:c>
      <x:c r="G14" s="6" t="inlineStr">
        <x:is>
          <x:t xml:space="preserve">홀수 음압 결측(4 점). 같은 시료 1차와 4 dB 차</x:t>
        </x:is>
      </x:c>
    </x:row>
    <x:row r="15">
      <x:c r="B15" s="4" t="inlineStr">
        <x:is>
          <x:t xml:space="preserve">500C-1차</x:t>
        </x:is>
      </x:c>
      <x:c r="C15" s="4" t="inlineStr">
        <x:is>
          <x:t xml:space="preserve">기구</x:t>
        </x:is>
      </x:c>
      <x:c r="D15" s="4" t="n">
        <x:v>-11.43</x:v>
      </x:c>
      <x:c r="E15" s="4" t="n">
        <x:v>7</x:v>
      </x:c>
      <x:c r="F15" s="4" t="n">
        <x:v>0.37</x:v>
      </x:c>
      <x:c r="G15" s="6" t="inlineStr">
        <x:is>
          <x:t xml:space="preserve">실측 최저. 판정 기준의 «하한» 이 된다. 2차 재측정에서 4 dB 개선된 것으로 보아 조립 편차다</x:t>
        </x:is>
      </x:c>
    </x:row>
    <x:row r="16">
      <x:c r="B16" s="4" t="inlineStr">
        <x:is>
          <x:t xml:space="preserve">500A(중복)</x:t>
        </x:is>
      </x:c>
      <x:c r="C16" s="4" t="inlineStr">
        <x:is>
          <x:t xml:space="preserve">중복</x:t>
        </x:is>
      </x:c>
      <x:c r="D16" s="4" t="n">
        <x:v>-5.97</x:v>
      </x:c>
      <x:c r="E16" s="4" t="n">
        <x:v>7</x:v>
      </x:c>
      <x:c r="F16" s="4" t="n">
        <x:v>0.57</x:v>
      </x:c>
      <x:c r="G16" s="6" t="inlineStr">
        <x:is>
          <x:t xml:space="preserve">500A 와 값이 완전히 같다. 중복 기재로 보아 한 번만 셈</x:t>
        </x:is>
      </x:c>
    </x:row>
    <x:row r="18">
      <x:c r="B18" s="7" t="inlineStr">
        <x:is>
          <x:t xml:space="preserve">그룹 기준값</x:t>
        </x:is>
      </x:c>
    </x:row>
    <x:row r="19">
      <x:c r="B19" s="8" t="inlineStr">
        <x:is>
          <x:t xml:space="preserve">PCB 상태 평균 (참조용)</x:t>
        </x:is>
      </x:c>
      <x:c r="C19" s="9" t="n">
        <x:v>-3.644</x:v>
      </x:c>
      <x:c r="D19" s="9" t="inlineStr">
        <x:is>
          <x:t xml:space="preserve">5 시료</x:t>
        </x:is>
      </x:c>
    </x:row>
    <x:row r="20">
      <x:c r="B20" s="8" t="inlineStr">
        <x:is>
          <x:t xml:space="preserve">기구 조립 판정 기준</x:t>
        </x:is>
      </x:c>
      <x:c r="C20" s="9" t="n">
        <x:v>-8.292999999999999</x:v>
      </x:c>
      <x:c r="D20" s="9" t="inlineStr">
        <x:is>
          <x:t xml:space="preserve"/>
        </x:is>
      </x:c>
    </x:row>
    <x:row r="21">
      <x:c r="B21" s="8" t="inlineStr">
        <x:is>
          <x:t xml:space="preserve">  상한 (실측 최고 500E)</x:t>
        </x:is>
      </x:c>
      <x:c r="C21" s="9" t="n">
        <x:v>-5.153</x:v>
      </x:c>
      <x:c r="D21" s="9" t="inlineStr">
        <x:is>
          <x:t xml:space="preserve"/>
        </x:is>
      </x:c>
    </x:row>
    <x:row r="22">
      <x:c r="B22" s="8" t="inlineStr">
        <x:is>
          <x:t xml:space="preserve">  하한 (실측 최저 500C-1차)</x:t>
        </x:is>
      </x:c>
      <x:c r="C22" s="9" t="n">
        <x:v>-11.433</x:v>
      </x:c>
      <x:c r="D22" s="9" t="inlineStr">
        <x:is>
          <x:t xml:space="preserve"/>
        </x:is>
      </x:c>
    </x:row>
    <x:row r="23">
      <x:c r="B23" s="8" t="inlineStr">
        <x:is>
          <x:t xml:space="preserve">  상·하한 여유 (허용 +-5 dB)</x:t>
        </x:is>
      </x:c>
      <x:c r="C23" s="9" t="n">
        <x:v>1.86</x:v>
      </x:c>
      <x:c r="D23" s="9" t="inlineStr">
        <x:is>
          <x:t xml:space="preserve"/>
        </x:is>
      </x:c>
    </x:row>
    <x:row r="24">
      <x:c r="B24" s="8" t="inlineStr">
        <x:is>
          <x:t xml:space="preserve">  이 기준의 통과 하한</x:t>
        </x:is>
      </x:c>
      <x:c r="C24" s="9" t="n">
        <x:v>-13.293</x:v>
      </x:c>
      <x:c r="D24" s="9" t="inlineStr">
        <x:is>
          <x:t xml:space="preserve"/>
        </x:is>
      </x:c>
    </x:row>
    <x:row r="25">
      <x:c r="B25" s="8" t="inlineStr">
        <x:is>
          <x:t xml:space="preserve">  조립 감쇠 0 인 극단(PCB 최고)의 여유</x:t>
        </x:is>
      </x:c>
      <x:c r="C25" s="9" t="n">
        <x:v>0.273</x:v>
      </x:c>
      <x:c r="D25" s="9" t="inlineStr">
        <x:is>
          <x:t xml:space="preserve"/>
        </x:is>
      </x:c>
    </x:row>
    <x:row r="26">
      <x:c r="B26" s="8" t="inlineStr">
        <x:is>
          <x:t xml:space="preserve">기구 조립 실측 평균 (참고, 편차 큰 3 제외)</x:t>
        </x:is>
      </x:c>
      <x:c r="C26" s="9" t="n">
        <x:v>-5.593</x:v>
      </x:c>
      <x:c r="D26" s="9" t="inlineStr">
        <x:is>
          <x:t xml:space="preserve">3 시료</x:t>
        </x:is>
      </x:c>
    </x:row>
    <x:row r="27">
      <x:c r="B27" s="8" t="inlineStr">
        <x:is>
          <x:t xml:space="preserve">기구 조립 실측 평균 (참고, 전체 6)</x:t>
        </x:is>
      </x:c>
      <x:c r="C27" s="9" t="n">
        <x:v>-7.075</x:v>
      </x:c>
      <x:c r="D27" s="9" t="inlineStr">
        <x:is>
          <x:t xml:space="preserve">6 시료</x:t>
        </x:is>
      </x:c>
    </x:row>
    <x:row r="29">
      <x:c r="B29" s="7" t="inlineStr">
        <x:is>
          <x:t xml:space="preserve">판단 근거</x:t>
        </x:is>
      </x:c>
    </x:row>
    <x:row r="30">
      <x:c r="B30" s="2" t="inlineStr">
        <x:is>
          <x:t xml:space="preserve">1. 1.5세대와 Sound1 은 같은 스펙의 마이크를 쓴다. 감도 차이는 일정한 dB 차로 나타난다.</x:t>
        </x:is>
      </x:c>
    </x:row>
    <x:row r="31">
      <x:c r="B31" s="2" t="inlineStr">
        <x:is>
          <x:t xml:space="preserve">2. 그래서 1.5세대 테이블의 생성 규칙을 그대로 두고 감쇠 항만 더했다.</x:t>
        </x:is>
      </x:c>
    </x:row>
    <x:row r="32">
      <x:c r="B32" s="2" t="inlineStr">
        <x:is>
          <x:t xml:space="preserve">3. 감쇠는 고음압 평탄 구간(80~110 dB SPL)에서 구했다. 저음압은 잡음 바닥 탓에 흔들려 그대로 쓰면 오히려 틀린다.</x:t>
        </x:is>
      </x:c>
    </x:row>
    <x:row r="33">
      <x:c r="B33" s="2" t="inlineStr">
        <x:is>
          <x:t xml:space="preserve">4. PCB 상태 5 시료는 -3.57 ~ -3.75 dB 로 매우 고르다(범위 0.18 dB). 기준으로 삼기에 충분하다.</x:t>
        </x:is>
      </x:c>
    </x:row>
    <x:row r="34">
      <x:c r="B34" s="2" t="inlineStr">
        <x:is>
          <x:t xml:space="preserve">5. 기구 조립은 500C-1차 -11.43, 500C-2차 -7.48, 500D -6.76 dB 로 낮았다. 같은 500C 가 1차와 2차에서 4 dB 나 달라진 것은 시료가 아니라 조립 편차를 가리킨다.</x:t>
        </x:is>
      </x:c>
    </x:row>
    <x:row r="35">
      <x:c r="B35" s="2" t="inlineStr">
        <x:is>
          <x:t xml:space="preserve">6. 이 셋을 «불량» 으로 빼지 않고 하한 산정에 썼다. 시험 판정 기준은 대표 성능이 아니라 실제로 나올 수 있는 범위를 담아야 하기 때문이다. 11 시료를 모두 썼다.</x:t>
        </x:is>
      </x:c>
    </x:row>
    <x:row r="36">
      <x:c r="B36" s="2" t="inlineStr">
        <x:is>
          <x:t xml:space="preserve">7. 판정용 기준은 «시험 대상(기구 조립) 실측의 중앙» 으로 잡았다. 상한은 실측 최고 500E(-5.15), 하한은 실측 최저 500C-1차(-11.43)이고 그 중앙 -8.293 에서 상·하한 여유가 각 1.86 dB 로 대칭이다.</x:t>
        </x:is>
      </x:c>
    </x:row>
    <x:row r="37">
      <x:c r="B37" s="2" t="inlineStr">
        <x:is>
          <x:t xml:space="preserve">8. 조립은 감쇠만 시키고 증가시키지 않으므로 실제 위험은 아래로만 흩어진다. 남는 여유를 아래에 두었다. 이 기준의 통과 하한은 -13.29 dB 로, 실측 최저보다 1.86 dB 더 나쁜 조립까지 받아 준다.</x:t>
        </x:is>
      </x:c>
    </x:row>
    <x:row r="38">
      <x:c r="B38" s="2" t="inlineStr">
        <x:is>
          <x:t xml:space="preserve">9. 위쪽도 안전하다. 조립 감쇠가 0 인 물리적 극단(= PCB 최고 -3.57)조차 여유 0.27 로 담긴다. 실측 기구 감쇠 최소는 1.51 dB(500E)이므로 실제로는 4 배 이상 여유가 있다.</x:t>
        </x:is>
      </x:c>
    </x:row>
    <x:row r="39">
      <x:c r="B39" s="2" t="inlineStr">
        <x:is>
          <x:t xml:space="preserve">9-1. 기준을 이보다 더 낮추면 그 안전망을 잃는다. -9.000 으로 잡으면 조립 감쇠가 거의 없는 개체가 위로 탈락한다(여유 -0.43).</x:t>
        </x:is>
      </x:c>
    </x:row>
    <x:row r="40">
      <x:c r="B40" s="2" t="inlineStr">
        <x:is>
          <x:t xml:space="preserve">10. 감수하는 것이 있다. 500C-1차 같은 조립 불량도 통과하므로 이 시험만으로는 조립 불량을 걸러내지 못한다. 조립 품질은 별도 수단으로 보아야 한다.</x:t>
        </x:is>
      </x:c>
    </x:row>
    <x:row r="41">
      <x:c r="B41" s="2" t="inlineStr">
        <x:is>
          <x:t xml:space="preserve">11. 원본 시트에서 측정값이 헤더보다 한 행 아래에 있어 바로잡아 읽었다. 음압 값 14 개와 측정 행 14 개가 맞고, 4 행에는 값이 없으며 18 행에는 음압이 없다.</x:t>
        </x:is>
      </x:c>
    </x:row>
  </x:sheetData>
  <x:mergeCells>
    <x:mergeCell ref="B38:G38"/>
    <x:mergeCell ref="B34:G34"/>
    <x:mergeCell ref="B39:G39"/>
    <x:mergeCell ref="B36:G36"/>
    <x:mergeCell ref="B37:G37"/>
    <x:mergeCell ref="B31:G31"/>
    <x:mergeCell ref="B41:G41"/>
    <x:mergeCell ref="B32:G32"/>
    <x:mergeCell ref="B35:G35"/>
    <x:mergeCell ref="B40:G40"/>
    <x:mergeCell ref="B30:G30"/>
    <x:mergeCell ref="B33:G33"/>
  </x:mergeCells>
  <x:pageMargins left="0.7" right="0.7" top="0.75" bottom="0.75" header="0.3" footer="0.3"/>
</x:worksheet>
</file>

<file path=xl/worksheets/sheet3.xml><?xml version="1.0" encoding="utf-8"?>
<x:worksheet xmlns:x="http://schemas.openxmlformats.org/spreadsheetml/2006/main">
  <x:sheetViews>
    <x:sheetView workbookViewId="0">
      <x:pane ySplit="10" topLeftCell="A11" activePane="bottomLeft" state="frozen"/>
    </x:sheetView>
  </x:sheetViews>
  <x:sheetFormatPr defaultRowHeight="15"/>
  <x:cols>
    <x:col min="2" max="2" width="19" hidden="0" customWidth="1"/>
    <x:col min="3" max="3" width="19" hidden="0" customWidth="1"/>
    <x:col min="4" max="4" width="22" hidden="0" customWidth="1"/>
    <x:col min="5" max="5" width="18" hidden="0" customWidth="1"/>
    <x:col min="6" max="6" width="22" hidden="0" customWidth="1"/>
    <x:col min="7" max="7" width="12" hidden="0" customWidth="1"/>
    <x:col min="8" max="8" width="20" hidden="0" customWidth="1"/>
  </x:cols>
  <x:sheetData>
    <x:row r="2" ht="30" customHeight="1">
      <x:c r="B2" s="157" t="str">
        <x:v>APx −8.293 dB 보정 적용 | Sound1 입력 음압 대비 ADC 출력</x:v>
      </x:c>
      <x:c r="C2" s="157"/>
      <x:c r="D2" s="157"/>
      <x:c r="E2" s="157"/>
      <x:c r="F2" s="157"/>
      <x:c r="G2" s="157"/>
      <x:c r="H2" s="157"/>
    </x:row>
    <x:row r="3">
      <x:c r="B3" s="10"/>
      <x:c r="C3" s="10"/>
      <x:c r="D3" s="10"/>
      <x:c r="E3" s="10"/>
      <x:c r="F3" s="10"/>
      <x:c r="G3" s="10"/>
      <x:c r="H3" s="10"/>
    </x:row>
    <x:row r="4">
      <x:c r="B4" s="158" t="str">
        <x:v>APx 표시 보정 [dB]</x:v>
      </x:c>
      <x:c r="C4" s="164" t="n">
        <x:v>-8.293</x:v>
      </x:c>
      <x:c r="D4" s="159" t="str">
        <x:v>Sound1 기구 감쇠 모델 [dB]</x:v>
      </x:c>
      <x:c r="E4" s="169" t="n">
        <x:v>-8.293</x:v>
      </x:c>
      <x:c r="F4" s="159" t="str">
        <x:v>제품 최대 실제 입력 [dBSPL]</x:v>
      </x:c>
      <x:c r="G4" s="159" t="str">
        <x:v>제품 최대 실제 입력 [dBSPL]</x:v>
      </x:c>
      <x:c r="H4" s="169" t="n">
        <x:v>110</x:v>
      </x:c>
    </x:row>
    <x:row r="5">
      <x:c r="B5" s="172" t="str">
        <x:v>최대 유효 APx 표시 [dBSPL]</x:v>
      </x:c>
      <x:c r="C5" s="169" t="n">
        <x:f>H4+C4</x:f>
        <x:v>101.707</x:v>
      </x:c>
      <x:c r="D5" s="52" t="str">
        <x:v>APx 표시 음압 = 실제 외부 음압 + 보정값, 따라서 실제 외부 음압 = APx 표시 음압 − 보정값</x:v>
      </x:c>
      <x:c r="E5" s="53" t="str">
        <x:v>APx 표시 음압 = 실제 외부 음압 + 보정값, 따라서 실제 외부 음압 = APx 표시 음압 − 보정값</x:v>
      </x:c>
      <x:c r="F5" s="53" t="str">
        <x:v>APx 표시 음압 = 실제 외부 음압 + 보정값, 따라서 실제 외부 음압 = APx 표시 음압 − 보정값</x:v>
      </x:c>
      <x:c r="G5" s="53" t="str">
        <x:v>APx 표시 음압 = 실제 외부 음압 + 보정값, 따라서 실제 외부 음압 = APx 표시 음압 − 보정값</x:v>
      </x:c>
      <x:c r="H5" s="54" t="str">
        <x:v>APx 표시 음압 = 실제 외부 음압 + 보정값, 따라서 실제 외부 음압 = APx 표시 음압 − 보정값</x:v>
      </x:c>
    </x:row>
    <x:row r="6">
      <x:c r="B6" s="10"/>
      <x:c r="C6" s="10"/>
      <x:c r="D6" s="10"/>
      <x:c r="E6" s="10"/>
      <x:c r="F6" s="10"/>
      <x:c r="G6" s="10"/>
      <x:c r="H6" s="10"/>
    </x:row>
    <x:row r="7" ht="34" customHeight="1">
      <x:c r="B7" s="183" t="str">
        <x:v>예: APx 화면에 29.000 dBSPL로 표시되도록 맞추면 실제 외부 음압은 37.293 dBSPL이며, Sound1 마이크 입력 등가 음압은 29.000 dBSPL이 되어 예상 ADC는 7입니다.</x:v>
      </x:c>
      <x:c r="C7" s="184" t="str">
        <x:v>예: APx 화면에 29.000 dBSPL로 표시되도록 맞추면 실제 외부 음압은 37.293 dBSPL이며, Sound1 마이크 입력 등가 음압은 29.000 dBSPL이 되어 예상 ADC는 7입니다.</x:v>
      </x:c>
      <x:c r="D7" s="184" t="str">
        <x:v>예: APx 화면에 29.000 dBSPL로 표시되도록 맞추면 실제 외부 음압은 37.293 dBSPL이며, Sound1 마이크 입력 등가 음압은 29.000 dBSPL이 되어 예상 ADC는 7입니다.</x:v>
      </x:c>
      <x:c r="E7" s="184" t="str">
        <x:v>예: APx 화면에 29.000 dBSPL로 표시되도록 맞추면 실제 외부 음압은 37.293 dBSPL이며, Sound1 마이크 입력 등가 음압은 29.000 dBSPL이 되어 예상 ADC는 7입니다.</x:v>
      </x:c>
      <x:c r="F7" s="184" t="str">
        <x:v>예: APx 화면에 29.000 dBSPL로 표시되도록 맞추면 실제 외부 음압은 37.293 dBSPL이며, Sound1 마이크 입력 등가 음압은 29.000 dBSPL이 되어 예상 ADC는 7입니다.</x:v>
      </x:c>
      <x:c r="G7" s="184" t="str">
        <x:v>예: APx 화면에 29.000 dBSPL로 표시되도록 맞추면 실제 외부 음압은 37.293 dBSPL이며, Sound1 마이크 입력 등가 음압은 29.000 dBSPL이 되어 예상 ADC는 7입니다.</x:v>
      </x:c>
      <x:c r="H7" s="185" t="str">
        <x:v>예: APx 화면에 29.000 dBSPL로 표시되도록 맞추면 실제 외부 음압은 37.293 dBSPL이며, Sound1 마이크 입력 등가 음압은 29.000 dBSPL이 되어 예상 ADC는 7입니다.</x:v>
      </x:c>
    </x:row>
    <x:row r="8" ht="31" customHeight="1">
      <x:c r="B8" s="194"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C8" s="195"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D8" s="195"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E8" s="195"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F8" s="195"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G8" s="195"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c r="H8" s="196" t="str">
        <x:v>주의: 이 보정은 APx 화면 표시를 1.5세대 기준에 맞추기 위한 것입니다. Sound1의 실제 최대 입력 사양은 110 dBSPL이며, 보정 화면에서는 101.707 dBSPL에 해당합니다. 기존 1.5세대 표와의 소수 count 차이는 종전 표의 정수화·기재값 차이입니다.</x:v>
      </x:c>
    </x:row>
    <x:row r="9">
      <x:c r="B9" s="10"/>
      <x:c r="C9" s="10"/>
      <x:c r="D9" s="10"/>
      <x:c r="E9" s="10"/>
      <x:c r="F9" s="10"/>
      <x:c r="G9" s="10"/>
      <x:c r="H9" s="10"/>
    </x:row>
    <x:row r="10" ht="38" customHeight="1">
      <x:c r="B10" s="208" t="str">
        <x:v>APx 보정 표시 음압
[dBSPL]</x:v>
      </x:c>
      <x:c r="C10" s="209" t="str">
        <x:v>실제 외부 음압
[dBSPL]</x:v>
      </x:c>
      <x:c r="D10" s="209" t="str">
        <x:v>Sound1 입력 등가 음압
[dBSPL]</x:v>
      </x:c>
      <x:c r="E10" s="209" t="str">
        <x:v>Sound1 예상 ADC
(기구 조립)</x:v>
      </x:c>
      <x:c r="F10" s="209" t="str">
        <x:v>1.5세대 기존 표 ADC
(멤브레인 미적용)</x:v>
      </x:c>
      <x:c r="G10" s="209" t="str">
        <x:v>차이
(모델−기존 표)</x:v>
      </x:c>
      <x:c r="H10" s="210" t="str">
        <x:v>Sound1 실제 입력 사양</x:v>
      </x:c>
    </x:row>
    <x:row r="11" ht="20" customHeight="1">
      <x:c r="B11" s="216" t="n">
        <x:f>'Sound1 입력 음압 대비 ADC 출력'!B9</x:f>
        <x:v>29</x:v>
      </x:c>
      <x:c r="C11" s="217" t="n">
        <x:f>B11-$C$4</x:f>
        <x:v>37.293</x:v>
      </x:c>
      <x:c r="D11" s="217" t="n">
        <x:f>ROUND(C11+$E$4,3)</x:f>
        <x:v>29</x:v>
      </x:c>
      <x:c r="E11" s="218" t="n">
        <x:f>INT(262143*10^((ROUND(D11,3)-120)/20))</x:f>
        <x:v>7</x:v>
      </x:c>
      <x:c r="F11" s="218" t="n">
        <x:f>'Sound1 입력 음압 대비 ADC 출력'!C9</x:f>
        <x:v>7</x:v>
      </x:c>
      <x:c r="G11" s="236" t="n">
        <x:f>E11-F11</x:f>
        <x:v>0</x:v>
      </x:c>
      <x:c r="H11" s="241" t="str">
        <x:f>IF(C11&lt;=$H$4,"사양 범위","110 dBSPL 초과")</x:f>
        <x:v>사양 범위</x:v>
      </x:c>
    </x:row>
    <x:row r="12" ht="20" customHeight="1">
      <x:c r="B12" s="220" t="n">
        <x:f>'Sound1 입력 음압 대비 ADC 출력'!B10</x:f>
        <x:v>30</x:v>
      </x:c>
      <x:c r="C12" s="221" t="n">
        <x:f>B12-$C$4</x:f>
        <x:v>38.293</x:v>
      </x:c>
      <x:c r="D12" s="221" t="n">
        <x:f>ROUND(C12+$E$4,3)</x:f>
        <x:v>30</x:v>
      </x:c>
      <x:c r="E12" s="222" t="n">
        <x:f>INT(262143*10^((ROUND(D12,3)-120)/20))</x:f>
        <x:v>8</x:v>
      </x:c>
      <x:c r="F12" s="222" t="n">
        <x:f>'Sound1 입력 음압 대비 ADC 출력'!C10</x:f>
        <x:v>8</x:v>
      </x:c>
      <x:c r="G12" s="237" t="n">
        <x:f>E12-F12</x:f>
        <x:v>0</x:v>
      </x:c>
      <x:c r="H12" s="242" t="str">
        <x:f>IF(C12&lt;=$H$4,"사양 범위","110 dBSPL 초과")</x:f>
        <x:v>사양 범위</x:v>
      </x:c>
    </x:row>
    <x:row r="13" ht="20" customHeight="1">
      <x:c r="B13" s="120" t="n">
        <x:f>'Sound1 입력 음압 대비 ADC 출력'!B11</x:f>
        <x:v>31</x:v>
      </x:c>
      <x:c r="C13" s="214" t="n">
        <x:f>B13-$C$4</x:f>
        <x:v>39.293</x:v>
      </x:c>
      <x:c r="D13" s="214" t="n">
        <x:f>ROUND(C13+$E$4,3)</x:f>
        <x:v>31</x:v>
      </x:c>
      <x:c r="E13" s="215" t="n">
        <x:f>INT(262143*10^((ROUND(D13,3)-120)/20))</x:f>
        <x:v>9</x:v>
      </x:c>
      <x:c r="F13" s="215" t="n">
        <x:f>'Sound1 입력 음압 대비 ADC 출력'!C11</x:f>
        <x:v>9</x:v>
      </x:c>
      <x:c r="G13" s="238" t="n">
        <x:f>E13-F13</x:f>
        <x:v>0</x:v>
      </x:c>
      <x:c r="H13" s="243" t="str">
        <x:f>IF(C13&lt;=$H$4,"사양 범위","110 dBSPL 초과")</x:f>
        <x:v>사양 범위</x:v>
      </x:c>
    </x:row>
    <x:row r="14" ht="20" customHeight="1">
      <x:c r="B14" s="220" t="n">
        <x:f>'Sound1 입력 음압 대비 ADC 출력'!B12</x:f>
        <x:v>32</x:v>
      </x:c>
      <x:c r="C14" s="221" t="n">
        <x:f>B14-$C$4</x:f>
        <x:v>40.293</x:v>
      </x:c>
      <x:c r="D14" s="221" t="n">
        <x:f>ROUND(C14+$E$4,3)</x:f>
        <x:v>32</x:v>
      </x:c>
      <x:c r="E14" s="222" t="n">
        <x:f>INT(262143*10^((ROUND(D14,3)-120)/20))</x:f>
        <x:v>10</x:v>
      </x:c>
      <x:c r="F14" s="222" t="n">
        <x:f>'Sound1 입력 음압 대비 ADC 출력'!C12</x:f>
        <x:v>10</x:v>
      </x:c>
      <x:c r="G14" s="237" t="n">
        <x:f>E14-F14</x:f>
        <x:v>0</x:v>
      </x:c>
      <x:c r="H14" s="242" t="str">
        <x:f>IF(C14&lt;=$H$4,"사양 범위","110 dBSPL 초과")</x:f>
        <x:v>사양 범위</x:v>
      </x:c>
    </x:row>
    <x:row r="15" ht="20" customHeight="1">
      <x:c r="B15" s="120" t="n">
        <x:f>'Sound1 입력 음압 대비 ADC 출력'!B13</x:f>
        <x:v>33</x:v>
      </x:c>
      <x:c r="C15" s="214" t="n">
        <x:f>B15-$C$4</x:f>
        <x:v>41.293</x:v>
      </x:c>
      <x:c r="D15" s="214" t="n">
        <x:f>ROUND(C15+$E$4,3)</x:f>
        <x:v>33</x:v>
      </x:c>
      <x:c r="E15" s="215" t="n">
        <x:f>INT(262143*10^((ROUND(D15,3)-120)/20))</x:f>
        <x:v>11</x:v>
      </x:c>
      <x:c r="F15" s="215" t="n">
        <x:f>'Sound1 입력 음압 대비 ADC 출력'!C13</x:f>
        <x:v>11</x:v>
      </x:c>
      <x:c r="G15" s="238" t="n">
        <x:f>E15-F15</x:f>
        <x:v>0</x:v>
      </x:c>
      <x:c r="H15" s="243" t="str">
        <x:f>IF(C15&lt;=$H$4,"사양 범위","110 dBSPL 초과")</x:f>
        <x:v>사양 범위</x:v>
      </x:c>
    </x:row>
    <x:row r="16" ht="20" customHeight="1">
      <x:c r="B16" s="220" t="n">
        <x:f>'Sound1 입력 음압 대비 ADC 출력'!B14</x:f>
        <x:v>34</x:v>
      </x:c>
      <x:c r="C16" s="221" t="n">
        <x:f>B16-$C$4</x:f>
        <x:v>42.293</x:v>
      </x:c>
      <x:c r="D16" s="221" t="n">
        <x:f>ROUND(C16+$E$4,3)</x:f>
        <x:v>34</x:v>
      </x:c>
      <x:c r="E16" s="222" t="n">
        <x:f>INT(262143*10^((ROUND(D16,3)-120)/20))</x:f>
        <x:v>13</x:v>
      </x:c>
      <x:c r="F16" s="222" t="n">
        <x:f>'Sound1 입력 음압 대비 ADC 출력'!C14</x:f>
        <x:v>13</x:v>
      </x:c>
      <x:c r="G16" s="237" t="n">
        <x:f>E16-F16</x:f>
        <x:v>0</x:v>
      </x:c>
      <x:c r="H16" s="242" t="str">
        <x:f>IF(C16&lt;=$H$4,"사양 범위","110 dBSPL 초과")</x:f>
        <x:v>사양 범위</x:v>
      </x:c>
    </x:row>
    <x:row r="17" ht="20" customHeight="1">
      <x:c r="B17" s="120" t="n">
        <x:f>'Sound1 입력 음압 대비 ADC 출력'!B15</x:f>
        <x:v>35</x:v>
      </x:c>
      <x:c r="C17" s="214" t="n">
        <x:f>B17-$C$4</x:f>
        <x:v>43.293</x:v>
      </x:c>
      <x:c r="D17" s="214" t="n">
        <x:f>ROUND(C17+$E$4,3)</x:f>
        <x:v>35</x:v>
      </x:c>
      <x:c r="E17" s="215" t="n">
        <x:f>INT(262143*10^((ROUND(D17,3)-120)/20))</x:f>
        <x:v>14</x:v>
      </x:c>
      <x:c r="F17" s="215" t="n">
        <x:f>'Sound1 입력 음압 대비 ADC 출력'!C15</x:f>
        <x:v>14</x:v>
      </x:c>
      <x:c r="G17" s="238" t="n">
        <x:f>E17-F17</x:f>
        <x:v>0</x:v>
      </x:c>
      <x:c r="H17" s="243" t="str">
        <x:f>IF(C17&lt;=$H$4,"사양 범위","110 dBSPL 초과")</x:f>
        <x:v>사양 범위</x:v>
      </x:c>
    </x:row>
    <x:row r="18" ht="20" customHeight="1">
      <x:c r="B18" s="220" t="n">
        <x:f>'Sound1 입력 음압 대비 ADC 출력'!B16</x:f>
        <x:v>36</x:v>
      </x:c>
      <x:c r="C18" s="221" t="n">
        <x:f>B18-$C$4</x:f>
        <x:v>44.293</x:v>
      </x:c>
      <x:c r="D18" s="221" t="n">
        <x:f>ROUND(C18+$E$4,3)</x:f>
        <x:v>36</x:v>
      </x:c>
      <x:c r="E18" s="222" t="n">
        <x:f>INT(262143*10^((ROUND(D18,3)-120)/20))</x:f>
        <x:v>16</x:v>
      </x:c>
      <x:c r="F18" s="222" t="n">
        <x:f>'Sound1 입력 음압 대비 ADC 출력'!C16</x:f>
        <x:v>16</x:v>
      </x:c>
      <x:c r="G18" s="237" t="n">
        <x:f>E18-F18</x:f>
        <x:v>0</x:v>
      </x:c>
      <x:c r="H18" s="242" t="str">
        <x:f>IF(C18&lt;=$H$4,"사양 범위","110 dBSPL 초과")</x:f>
        <x:v>사양 범위</x:v>
      </x:c>
    </x:row>
    <x:row r="19" ht="20" customHeight="1">
      <x:c r="B19" s="120" t="n">
        <x:f>'Sound1 입력 음압 대비 ADC 출력'!B17</x:f>
        <x:v>37</x:v>
      </x:c>
      <x:c r="C19" s="214" t="n">
        <x:f>B19-$C$4</x:f>
        <x:v>45.293</x:v>
      </x:c>
      <x:c r="D19" s="214" t="n">
        <x:f>ROUND(C19+$E$4,3)</x:f>
        <x:v>37</x:v>
      </x:c>
      <x:c r="E19" s="215" t="n">
        <x:f>INT(262143*10^((ROUND(D19,3)-120)/20))</x:f>
        <x:v>18</x:v>
      </x:c>
      <x:c r="F19" s="215" t="n">
        <x:f>'Sound1 입력 음압 대비 ADC 출력'!C17</x:f>
        <x:v>18</x:v>
      </x:c>
      <x:c r="G19" s="238" t="n">
        <x:f>E19-F19</x:f>
        <x:v>0</x:v>
      </x:c>
      <x:c r="H19" s="243" t="str">
        <x:f>IF(C19&lt;=$H$4,"사양 범위","110 dBSPL 초과")</x:f>
        <x:v>사양 범위</x:v>
      </x:c>
    </x:row>
    <x:row r="20" ht="20" customHeight="1">
      <x:c r="B20" s="220" t="n">
        <x:f>'Sound1 입력 음압 대비 ADC 출력'!B18</x:f>
        <x:v>38</x:v>
      </x:c>
      <x:c r="C20" s="221" t="n">
        <x:f>B20-$C$4</x:f>
        <x:v>46.293</x:v>
      </x:c>
      <x:c r="D20" s="221" t="n">
        <x:f>ROUND(C20+$E$4,3)</x:f>
        <x:v>38</x:v>
      </x:c>
      <x:c r="E20" s="222" t="n">
        <x:f>INT(262143*10^((ROUND(D20,3)-120)/20))</x:f>
        <x:v>20</x:v>
      </x:c>
      <x:c r="F20" s="222" t="n">
        <x:f>'Sound1 입력 음압 대비 ADC 출력'!C18</x:f>
        <x:v>20</x:v>
      </x:c>
      <x:c r="G20" s="237" t="n">
        <x:f>E20-F20</x:f>
        <x:v>0</x:v>
      </x:c>
      <x:c r="H20" s="242" t="str">
        <x:f>IF(C20&lt;=$H$4,"사양 범위","110 dBSPL 초과")</x:f>
        <x:v>사양 범위</x:v>
      </x:c>
    </x:row>
    <x:row r="21" ht="20" customHeight="1">
      <x:c r="B21" s="120" t="n">
        <x:f>'Sound1 입력 음압 대비 ADC 출력'!B19</x:f>
        <x:v>39</x:v>
      </x:c>
      <x:c r="C21" s="214" t="n">
        <x:f>B21-$C$4</x:f>
        <x:v>47.293</x:v>
      </x:c>
      <x:c r="D21" s="214" t="n">
        <x:f>ROUND(C21+$E$4,3)</x:f>
        <x:v>39</x:v>
      </x:c>
      <x:c r="E21" s="215" t="n">
        <x:f>INT(262143*10^((ROUND(D21,3)-120)/20))</x:f>
        <x:v>23</x:v>
      </x:c>
      <x:c r="F21" s="215" t="n">
        <x:f>'Sound1 입력 음압 대비 ADC 출력'!C19</x:f>
        <x:v>23</x:v>
      </x:c>
      <x:c r="G21" s="238" t="n">
        <x:f>E21-F21</x:f>
        <x:v>0</x:v>
      </x:c>
      <x:c r="H21" s="243" t="str">
        <x:f>IF(C21&lt;=$H$4,"사양 범위","110 dBSPL 초과")</x:f>
        <x:v>사양 범위</x:v>
      </x:c>
    </x:row>
    <x:row r="22" ht="20" customHeight="1">
      <x:c r="B22" s="220" t="n">
        <x:f>'Sound1 입력 음압 대비 ADC 출력'!B20</x:f>
        <x:v>40</x:v>
      </x:c>
      <x:c r="C22" s="221" t="n">
        <x:f>B22-$C$4</x:f>
        <x:v>48.293</x:v>
      </x:c>
      <x:c r="D22" s="221" t="n">
        <x:f>ROUND(C22+$E$4,3)</x:f>
        <x:v>40</x:v>
      </x:c>
      <x:c r="E22" s="222" t="n">
        <x:f>INT(262143*10^((ROUND(D22,3)-120)/20))</x:f>
        <x:v>26</x:v>
      </x:c>
      <x:c r="F22" s="222" t="n">
        <x:f>'Sound1 입력 음압 대비 ADC 출력'!C20</x:f>
        <x:v>26</x:v>
      </x:c>
      <x:c r="G22" s="237" t="n">
        <x:f>E22-F22</x:f>
        <x:v>0</x:v>
      </x:c>
      <x:c r="H22" s="242" t="str">
        <x:f>IF(C22&lt;=$H$4,"사양 범위","110 dBSPL 초과")</x:f>
        <x:v>사양 범위</x:v>
      </x:c>
    </x:row>
    <x:row r="23" ht="20" customHeight="1">
      <x:c r="B23" s="120" t="n">
        <x:f>'Sound1 입력 음압 대비 ADC 출력'!B21</x:f>
        <x:v>41</x:v>
      </x:c>
      <x:c r="C23" s="214" t="n">
        <x:f>B23-$C$4</x:f>
        <x:v>49.293</x:v>
      </x:c>
      <x:c r="D23" s="214" t="n">
        <x:f>ROUND(C23+$E$4,3)</x:f>
        <x:v>41</x:v>
      </x:c>
      <x:c r="E23" s="215" t="n">
        <x:f>INT(262143*10^((ROUND(D23,3)-120)/20))</x:f>
        <x:v>29</x:v>
      </x:c>
      <x:c r="F23" s="215" t="n">
        <x:f>'Sound1 입력 음압 대비 ADC 출력'!C21</x:f>
        <x:v>29</x:v>
      </x:c>
      <x:c r="G23" s="238" t="n">
        <x:f>E23-F23</x:f>
        <x:v>0</x:v>
      </x:c>
      <x:c r="H23" s="243" t="str">
        <x:f>IF(C23&lt;=$H$4,"사양 범위","110 dBSPL 초과")</x:f>
        <x:v>사양 범위</x:v>
      </x:c>
    </x:row>
    <x:row r="24" ht="20" customHeight="1">
      <x:c r="B24" s="220" t="n">
        <x:f>'Sound1 입력 음압 대비 ADC 출력'!B22</x:f>
        <x:v>42</x:v>
      </x:c>
      <x:c r="C24" s="221" t="n">
        <x:f>B24-$C$4</x:f>
        <x:v>50.293</x:v>
      </x:c>
      <x:c r="D24" s="221" t="n">
        <x:f>ROUND(C24+$E$4,3)</x:f>
        <x:v>42</x:v>
      </x:c>
      <x:c r="E24" s="222" t="n">
        <x:f>INT(262143*10^((ROUND(D24,3)-120)/20))</x:f>
        <x:v>33</x:v>
      </x:c>
      <x:c r="F24" s="222" t="n">
        <x:f>'Sound1 입력 음압 대비 ADC 출력'!C22</x:f>
        <x:v>33</x:v>
      </x:c>
      <x:c r="G24" s="237" t="n">
        <x:f>E24-F24</x:f>
        <x:v>0</x:v>
      </x:c>
      <x:c r="H24" s="242" t="str">
        <x:f>IF(C24&lt;=$H$4,"사양 범위","110 dBSPL 초과")</x:f>
        <x:v>사양 범위</x:v>
      </x:c>
    </x:row>
    <x:row r="25" ht="20" customHeight="1">
      <x:c r="B25" s="120" t="n">
        <x:f>'Sound1 입력 음압 대비 ADC 출력'!B23</x:f>
        <x:v>43</x:v>
      </x:c>
      <x:c r="C25" s="214" t="n">
        <x:f>B25-$C$4</x:f>
        <x:v>51.293</x:v>
      </x:c>
      <x:c r="D25" s="214" t="n">
        <x:f>ROUND(C25+$E$4,3)</x:f>
        <x:v>43</x:v>
      </x:c>
      <x:c r="E25" s="215" t="n">
        <x:f>INT(262143*10^((ROUND(D25,3)-120)/20))</x:f>
        <x:v>37</x:v>
      </x:c>
      <x:c r="F25" s="215" t="n">
        <x:f>'Sound1 입력 음압 대비 ADC 출력'!C23</x:f>
        <x:v>37</x:v>
      </x:c>
      <x:c r="G25" s="238" t="n">
        <x:f>E25-F25</x:f>
        <x:v>0</x:v>
      </x:c>
      <x:c r="H25" s="243" t="str">
        <x:f>IF(C25&lt;=$H$4,"사양 범위","110 dBSPL 초과")</x:f>
        <x:v>사양 범위</x:v>
      </x:c>
    </x:row>
    <x:row r="26" ht="20" customHeight="1">
      <x:c r="B26" s="220" t="n">
        <x:f>'Sound1 입력 음압 대비 ADC 출력'!B24</x:f>
        <x:v>44</x:v>
      </x:c>
      <x:c r="C26" s="221" t="n">
        <x:f>B26-$C$4</x:f>
        <x:v>52.293</x:v>
      </x:c>
      <x:c r="D26" s="221" t="n">
        <x:f>ROUND(C26+$E$4,3)</x:f>
        <x:v>44</x:v>
      </x:c>
      <x:c r="E26" s="222" t="n">
        <x:f>INT(262143*10^((ROUND(D26,3)-120)/20))</x:f>
        <x:v>41</x:v>
      </x:c>
      <x:c r="F26" s="222" t="n">
        <x:f>'Sound1 입력 음압 대비 ADC 출력'!C24</x:f>
        <x:v>41</x:v>
      </x:c>
      <x:c r="G26" s="237" t="n">
        <x:f>E26-F26</x:f>
        <x:v>0</x:v>
      </x:c>
      <x:c r="H26" s="242" t="str">
        <x:f>IF(C26&lt;=$H$4,"사양 범위","110 dBSPL 초과")</x:f>
        <x:v>사양 범위</x:v>
      </x:c>
    </x:row>
    <x:row r="27" ht="20" customHeight="1">
      <x:c r="B27" s="120" t="n">
        <x:f>'Sound1 입력 음압 대비 ADC 출력'!B25</x:f>
        <x:v>45</x:v>
      </x:c>
      <x:c r="C27" s="214" t="n">
        <x:f>B27-$C$4</x:f>
        <x:v>53.293</x:v>
      </x:c>
      <x:c r="D27" s="214" t="n">
        <x:f>ROUND(C27+$E$4,3)</x:f>
        <x:v>45</x:v>
      </x:c>
      <x:c r="E27" s="215" t="n">
        <x:f>INT(262143*10^((ROUND(D27,3)-120)/20))</x:f>
        <x:v>46</x:v>
      </x:c>
      <x:c r="F27" s="215" t="n">
        <x:f>'Sound1 입력 음압 대비 ADC 출력'!C25</x:f>
        <x:v>46</x:v>
      </x:c>
      <x:c r="G27" s="238" t="n">
        <x:f>E27-F27</x:f>
        <x:v>0</x:v>
      </x:c>
      <x:c r="H27" s="243" t="str">
        <x:f>IF(C27&lt;=$H$4,"사양 범위","110 dBSPL 초과")</x:f>
        <x:v>사양 범위</x:v>
      </x:c>
    </x:row>
    <x:row r="28" ht="20" customHeight="1">
      <x:c r="B28" s="220" t="n">
        <x:f>'Sound1 입력 음압 대비 ADC 출력'!B26</x:f>
        <x:v>46</x:v>
      </x:c>
      <x:c r="C28" s="221" t="n">
        <x:f>B28-$C$4</x:f>
        <x:v>54.293</x:v>
      </x:c>
      <x:c r="D28" s="221" t="n">
        <x:f>ROUND(C28+$E$4,3)</x:f>
        <x:v>46</x:v>
      </x:c>
      <x:c r="E28" s="222" t="n">
        <x:f>INT(262143*10^((ROUND(D28,3)-120)/20))</x:f>
        <x:v>52</x:v>
      </x:c>
      <x:c r="F28" s="222" t="n">
        <x:f>'Sound1 입력 음압 대비 ADC 출력'!C26</x:f>
        <x:v>52</x:v>
      </x:c>
      <x:c r="G28" s="237" t="n">
        <x:f>E28-F28</x:f>
        <x:v>0</x:v>
      </x:c>
      <x:c r="H28" s="242" t="str">
        <x:f>IF(C28&lt;=$H$4,"사양 범위","110 dBSPL 초과")</x:f>
        <x:v>사양 범위</x:v>
      </x:c>
    </x:row>
    <x:row r="29" ht="20" customHeight="1">
      <x:c r="B29" s="120" t="n">
        <x:f>'Sound1 입력 음압 대비 ADC 출력'!B27</x:f>
        <x:v>47</x:v>
      </x:c>
      <x:c r="C29" s="214" t="n">
        <x:f>B29-$C$4</x:f>
        <x:v>55.293</x:v>
      </x:c>
      <x:c r="D29" s="214" t="n">
        <x:f>ROUND(C29+$E$4,3)</x:f>
        <x:v>47</x:v>
      </x:c>
      <x:c r="E29" s="215" t="n">
        <x:f>INT(262143*10^((ROUND(D29,3)-120)/20))</x:f>
        <x:v>58</x:v>
      </x:c>
      <x:c r="F29" s="215" t="n">
        <x:f>'Sound1 입력 음압 대비 ADC 출력'!C27</x:f>
        <x:v>58</x:v>
      </x:c>
      <x:c r="G29" s="238" t="n">
        <x:f>E29-F29</x:f>
        <x:v>0</x:v>
      </x:c>
      <x:c r="H29" s="243" t="str">
        <x:f>IF(C29&lt;=$H$4,"사양 범위","110 dBSPL 초과")</x:f>
        <x:v>사양 범위</x:v>
      </x:c>
    </x:row>
    <x:row r="30" ht="20" customHeight="1">
      <x:c r="B30" s="220" t="n">
        <x:f>'Sound1 입력 음압 대비 ADC 출력'!B28</x:f>
        <x:v>48</x:v>
      </x:c>
      <x:c r="C30" s="221" t="n">
        <x:f>B30-$C$4</x:f>
        <x:v>56.293</x:v>
      </x:c>
      <x:c r="D30" s="221" t="n">
        <x:f>ROUND(C30+$E$4,3)</x:f>
        <x:v>48</x:v>
      </x:c>
      <x:c r="E30" s="222" t="n">
        <x:f>INT(262143*10^((ROUND(D30,3)-120)/20))</x:f>
        <x:v>65</x:v>
      </x:c>
      <x:c r="F30" s="222" t="n">
        <x:f>'Sound1 입력 음압 대비 ADC 출력'!C28</x:f>
        <x:v>65</x:v>
      </x:c>
      <x:c r="G30" s="237" t="n">
        <x:f>E30-F30</x:f>
        <x:v>0</x:v>
      </x:c>
      <x:c r="H30" s="242" t="str">
        <x:f>IF(C30&lt;=$H$4,"사양 범위","110 dBSPL 초과")</x:f>
        <x:v>사양 범위</x:v>
      </x:c>
    </x:row>
    <x:row r="31" ht="20" customHeight="1">
      <x:c r="B31" s="120" t="n">
        <x:f>'Sound1 입력 음압 대비 ADC 출력'!B29</x:f>
        <x:v>49</x:v>
      </x:c>
      <x:c r="C31" s="214" t="n">
        <x:f>B31-$C$4</x:f>
        <x:v>57.293</x:v>
      </x:c>
      <x:c r="D31" s="214" t="n">
        <x:f>ROUND(C31+$E$4,3)</x:f>
        <x:v>49</x:v>
      </x:c>
      <x:c r="E31" s="215" t="n">
        <x:f>INT(262143*10^((ROUND(D31,3)-120)/20))</x:f>
        <x:v>73</x:v>
      </x:c>
      <x:c r="F31" s="215" t="n">
        <x:f>'Sound1 입력 음압 대비 ADC 출력'!C29</x:f>
        <x:v>73</x:v>
      </x:c>
      <x:c r="G31" s="238" t="n">
        <x:f>E31-F31</x:f>
        <x:v>0</x:v>
      </x:c>
      <x:c r="H31" s="243" t="str">
        <x:f>IF(C31&lt;=$H$4,"사양 범위","110 dBSPL 초과")</x:f>
        <x:v>사양 범위</x:v>
      </x:c>
    </x:row>
    <x:row r="32" ht="20" customHeight="1">
      <x:c r="B32" s="220" t="n">
        <x:f>'Sound1 입력 음압 대비 ADC 출력'!B30</x:f>
        <x:v>50</x:v>
      </x:c>
      <x:c r="C32" s="221" t="n">
        <x:f>B32-$C$4</x:f>
        <x:v>58.293</x:v>
      </x:c>
      <x:c r="D32" s="221" t="n">
        <x:f>ROUND(C32+$E$4,3)</x:f>
        <x:v>50</x:v>
      </x:c>
      <x:c r="E32" s="222" t="n">
        <x:f>INT(262143*10^((ROUND(D32,3)-120)/20))</x:f>
        <x:v>82</x:v>
      </x:c>
      <x:c r="F32" s="222" t="n">
        <x:f>'Sound1 입력 음압 대비 ADC 출력'!C30</x:f>
        <x:v>83</x:v>
      </x:c>
      <x:c r="G32" s="237" t="n">
        <x:f>E32-F32</x:f>
        <x:v>-1</x:v>
      </x:c>
      <x:c r="H32" s="242" t="str">
        <x:f>IF(C32&lt;=$H$4,"사양 범위","110 dBSPL 초과")</x:f>
        <x:v>사양 범위</x:v>
      </x:c>
    </x:row>
    <x:row r="33" ht="20" customHeight="1">
      <x:c r="B33" s="120" t="n">
        <x:f>'Sound1 입력 음압 대비 ADC 출력'!B31</x:f>
        <x:v>51</x:v>
      </x:c>
      <x:c r="C33" s="214" t="n">
        <x:f>B33-$C$4</x:f>
        <x:v>59.293</x:v>
      </x:c>
      <x:c r="D33" s="214" t="n">
        <x:f>ROUND(C33+$E$4,3)</x:f>
        <x:v>51</x:v>
      </x:c>
      <x:c r="E33" s="215" t="n">
        <x:f>INT(262143*10^((ROUND(D33,3)-120)/20))</x:f>
        <x:v>93</x:v>
      </x:c>
      <x:c r="F33" s="215" t="n">
        <x:f>'Sound1 입력 음압 대비 ADC 출력'!C31</x:f>
        <x:v>93</x:v>
      </x:c>
      <x:c r="G33" s="238" t="n">
        <x:f>E33-F33</x:f>
        <x:v>0</x:v>
      </x:c>
      <x:c r="H33" s="243" t="str">
        <x:f>IF(C33&lt;=$H$4,"사양 범위","110 dBSPL 초과")</x:f>
        <x:v>사양 범위</x:v>
      </x:c>
    </x:row>
    <x:row r="34" ht="20" customHeight="1">
      <x:c r="B34" s="220" t="n">
        <x:f>'Sound1 입력 음압 대비 ADC 출력'!B32</x:f>
        <x:v>52</x:v>
      </x:c>
      <x:c r="C34" s="221" t="n">
        <x:f>B34-$C$4</x:f>
        <x:v>60.293</x:v>
      </x:c>
      <x:c r="D34" s="221" t="n">
        <x:f>ROUND(C34+$E$4,3)</x:f>
        <x:v>52</x:v>
      </x:c>
      <x:c r="E34" s="222" t="n">
        <x:f>INT(262143*10^((ROUND(D34,3)-120)/20))</x:f>
        <x:v>104</x:v>
      </x:c>
      <x:c r="F34" s="222" t="n">
        <x:f>'Sound1 입력 음압 대비 ADC 출력'!C32</x:f>
        <x:v>104</x:v>
      </x:c>
      <x:c r="G34" s="237" t="n">
        <x:f>E34-F34</x:f>
        <x:v>0</x:v>
      </x:c>
      <x:c r="H34" s="242" t="str">
        <x:f>IF(C34&lt;=$H$4,"사양 범위","110 dBSPL 초과")</x:f>
        <x:v>사양 범위</x:v>
      </x:c>
    </x:row>
    <x:row r="35" ht="20" customHeight="1">
      <x:c r="B35" s="120" t="n">
        <x:f>'Sound1 입력 음압 대비 ADC 출력'!B33</x:f>
        <x:v>53</x:v>
      </x:c>
      <x:c r="C35" s="214" t="n">
        <x:f>B35-$C$4</x:f>
        <x:v>61.293</x:v>
      </x:c>
      <x:c r="D35" s="214" t="n">
        <x:f>ROUND(C35+$E$4,3)</x:f>
        <x:v>53</x:v>
      </x:c>
      <x:c r="E35" s="215" t="n">
        <x:f>INT(262143*10^((ROUND(D35,3)-120)/20))</x:f>
        <x:v>117</x:v>
      </x:c>
      <x:c r="F35" s="215" t="n">
        <x:f>'Sound1 입력 음압 대비 ADC 출력'!C33</x:f>
        <x:v>116</x:v>
      </x:c>
      <x:c r="G35" s="238" t="n">
        <x:f>E35-F35</x:f>
        <x:v>1</x:v>
      </x:c>
      <x:c r="H35" s="243" t="str">
        <x:f>IF(C35&lt;=$H$4,"사양 범위","110 dBSPL 초과")</x:f>
        <x:v>사양 범위</x:v>
      </x:c>
    </x:row>
    <x:row r="36" ht="20" customHeight="1">
      <x:c r="B36" s="220" t="n">
        <x:f>'Sound1 입력 음압 대비 ADC 출력'!B34</x:f>
        <x:v>54</x:v>
      </x:c>
      <x:c r="C36" s="221" t="n">
        <x:f>B36-$C$4</x:f>
        <x:v>62.293</x:v>
      </x:c>
      <x:c r="D36" s="221" t="n">
        <x:f>ROUND(C36+$E$4,3)</x:f>
        <x:v>54</x:v>
      </x:c>
      <x:c r="E36" s="222" t="n">
        <x:f>INT(262143*10^((ROUND(D36,3)-120)/20))</x:f>
        <x:v>131</x:v>
      </x:c>
      <x:c r="F36" s="222" t="n">
        <x:f>'Sound1 입력 음압 대비 ADC 출력'!C34</x:f>
        <x:v>131</x:v>
      </x:c>
      <x:c r="G36" s="237" t="n">
        <x:f>E36-F36</x:f>
        <x:v>0</x:v>
      </x:c>
      <x:c r="H36" s="242" t="str">
        <x:f>IF(C36&lt;=$H$4,"사양 범위","110 dBSPL 초과")</x:f>
        <x:v>사양 범위</x:v>
      </x:c>
    </x:row>
    <x:row r="37" ht="20" customHeight="1">
      <x:c r="B37" s="120" t="n">
        <x:f>'Sound1 입력 음압 대비 ADC 출력'!B35</x:f>
        <x:v>55</x:v>
      </x:c>
      <x:c r="C37" s="214" t="n">
        <x:f>B37-$C$4</x:f>
        <x:v>63.293</x:v>
      </x:c>
      <x:c r="D37" s="214" t="n">
        <x:f>ROUND(C37+$E$4,3)</x:f>
        <x:v>55</x:v>
      </x:c>
      <x:c r="E37" s="215" t="n">
        <x:f>INT(262143*10^((ROUND(D37,3)-120)/20))</x:f>
        <x:v>147</x:v>
      </x:c>
      <x:c r="F37" s="215" t="n">
        <x:f>'Sound1 입력 음압 대비 ADC 출력'!C35</x:f>
        <x:v>147</x:v>
      </x:c>
      <x:c r="G37" s="238" t="n">
        <x:f>E37-F37</x:f>
        <x:v>0</x:v>
      </x:c>
      <x:c r="H37" s="243" t="str">
        <x:f>IF(C37&lt;=$H$4,"사양 범위","110 dBSPL 초과")</x:f>
        <x:v>사양 범위</x:v>
      </x:c>
    </x:row>
    <x:row r="38" ht="20" customHeight="1">
      <x:c r="B38" s="220" t="n">
        <x:f>'Sound1 입력 음압 대비 ADC 출력'!B36</x:f>
        <x:v>56</x:v>
      </x:c>
      <x:c r="C38" s="221" t="n">
        <x:f>B38-$C$4</x:f>
        <x:v>64.293</x:v>
      </x:c>
      <x:c r="D38" s="221" t="n">
        <x:f>ROUND(C38+$E$4,3)</x:f>
        <x:v>56</x:v>
      </x:c>
      <x:c r="E38" s="222" t="n">
        <x:f>INT(262143*10^((ROUND(D38,3)-120)/20))</x:f>
        <x:v>165</x:v>
      </x:c>
      <x:c r="F38" s="222" t="n">
        <x:f>'Sound1 입력 음압 대비 ADC 출력'!C36</x:f>
        <x:v>165</x:v>
      </x:c>
      <x:c r="G38" s="237" t="n">
        <x:f>E38-F38</x:f>
        <x:v>0</x:v>
      </x:c>
      <x:c r="H38" s="242" t="str">
        <x:f>IF(C38&lt;=$H$4,"사양 범위","110 dBSPL 초과")</x:f>
        <x:v>사양 범위</x:v>
      </x:c>
    </x:row>
    <x:row r="39" ht="20" customHeight="1">
      <x:c r="B39" s="120" t="n">
        <x:f>'Sound1 입력 음압 대비 ADC 출력'!B37</x:f>
        <x:v>57</x:v>
      </x:c>
      <x:c r="C39" s="214" t="n">
        <x:f>B39-$C$4</x:f>
        <x:v>65.293</x:v>
      </x:c>
      <x:c r="D39" s="214" t="n">
        <x:f>ROUND(C39+$E$4,3)</x:f>
        <x:v>57</x:v>
      </x:c>
      <x:c r="E39" s="215" t="n">
        <x:f>INT(262143*10^((ROUND(D39,3)-120)/20))</x:f>
        <x:v>185</x:v>
      </x:c>
      <x:c r="F39" s="215" t="n">
        <x:f>'Sound1 입력 음압 대비 ADC 출력'!C37</x:f>
        <x:v>185</x:v>
      </x:c>
      <x:c r="G39" s="238" t="n">
        <x:f>E39-F39</x:f>
        <x:v>0</x:v>
      </x:c>
      <x:c r="H39" s="243" t="str">
        <x:f>IF(C39&lt;=$H$4,"사양 범위","110 dBSPL 초과")</x:f>
        <x:v>사양 범위</x:v>
      </x:c>
    </x:row>
    <x:row r="40" ht="20" customHeight="1">
      <x:c r="B40" s="220" t="n">
        <x:f>'Sound1 입력 음압 대비 ADC 출력'!B38</x:f>
        <x:v>58</x:v>
      </x:c>
      <x:c r="C40" s="221" t="n">
        <x:f>B40-$C$4</x:f>
        <x:v>66.293</x:v>
      </x:c>
      <x:c r="D40" s="221" t="n">
        <x:f>ROUND(C40+$E$4,3)</x:f>
        <x:v>58</x:v>
      </x:c>
      <x:c r="E40" s="222" t="n">
        <x:f>INT(262143*10^((ROUND(D40,3)-120)/20))</x:f>
        <x:v>208</x:v>
      </x:c>
      <x:c r="F40" s="222" t="n">
        <x:f>'Sound1 입력 음압 대비 ADC 출력'!C38</x:f>
        <x:v>208</x:v>
      </x:c>
      <x:c r="G40" s="237" t="n">
        <x:f>E40-F40</x:f>
        <x:v>0</x:v>
      </x:c>
      <x:c r="H40" s="242" t="str">
        <x:f>IF(C40&lt;=$H$4,"사양 범위","110 dBSPL 초과")</x:f>
        <x:v>사양 범위</x:v>
      </x:c>
    </x:row>
    <x:row r="41" ht="20" customHeight="1">
      <x:c r="B41" s="120" t="n">
        <x:f>'Sound1 입력 음압 대비 ADC 출력'!B39</x:f>
        <x:v>59</x:v>
      </x:c>
      <x:c r="C41" s="214" t="n">
        <x:f>B41-$C$4</x:f>
        <x:v>67.293</x:v>
      </x:c>
      <x:c r="D41" s="214" t="n">
        <x:f>ROUND(C41+$E$4,3)</x:f>
        <x:v>59</x:v>
      </x:c>
      <x:c r="E41" s="215" t="n">
        <x:f>INT(262143*10^((ROUND(D41,3)-120)/20))</x:f>
        <x:v>233</x:v>
      </x:c>
      <x:c r="F41" s="215" t="n">
        <x:f>'Sound1 입력 음압 대비 ADC 출력'!C39</x:f>
        <x:v>233</x:v>
      </x:c>
      <x:c r="G41" s="238" t="n">
        <x:f>E41-F41</x:f>
        <x:v>0</x:v>
      </x:c>
      <x:c r="H41" s="243" t="str">
        <x:f>IF(C41&lt;=$H$4,"사양 범위","110 dBSPL 초과")</x:f>
        <x:v>사양 범위</x:v>
      </x:c>
    </x:row>
    <x:row r="42" ht="20" customHeight="1">
      <x:c r="B42" s="220" t="n">
        <x:f>'Sound1 입력 음압 대비 ADC 출력'!B40</x:f>
        <x:v>60</x:v>
      </x:c>
      <x:c r="C42" s="221" t="n">
        <x:f>B42-$C$4</x:f>
        <x:v>68.293</x:v>
      </x:c>
      <x:c r="D42" s="221" t="n">
        <x:f>ROUND(C42+$E$4,3)</x:f>
        <x:v>60</x:v>
      </x:c>
      <x:c r="E42" s="222" t="n">
        <x:f>INT(262143*10^((ROUND(D42,3)-120)/20))</x:f>
        <x:v>262</x:v>
      </x:c>
      <x:c r="F42" s="222" t="n">
        <x:f>'Sound1 입력 음압 대비 ADC 출력'!C40</x:f>
        <x:v>262</x:v>
      </x:c>
      <x:c r="G42" s="237" t="n">
        <x:f>E42-F42</x:f>
        <x:v>0</x:v>
      </x:c>
      <x:c r="H42" s="242" t="str">
        <x:f>IF(C42&lt;=$H$4,"사양 범위","110 dBSPL 초과")</x:f>
        <x:v>사양 범위</x:v>
      </x:c>
    </x:row>
    <x:row r="43" ht="20" customHeight="1">
      <x:c r="B43" s="120" t="n">
        <x:f>'Sound1 입력 음압 대비 ADC 출력'!B41</x:f>
        <x:v>61</x:v>
      </x:c>
      <x:c r="C43" s="214" t="n">
        <x:f>B43-$C$4</x:f>
        <x:v>69.293</x:v>
      </x:c>
      <x:c r="D43" s="214" t="n">
        <x:f>ROUND(C43+$E$4,3)</x:f>
        <x:v>61</x:v>
      </x:c>
      <x:c r="E43" s="215" t="n">
        <x:f>INT(262143*10^((ROUND(D43,3)-120)/20))</x:f>
        <x:v>294</x:v>
      </x:c>
      <x:c r="F43" s="215" t="n">
        <x:f>'Sound1 입력 음압 대비 ADC 출력'!C41</x:f>
        <x:v>294</x:v>
      </x:c>
      <x:c r="G43" s="238" t="n">
        <x:f>E43-F43</x:f>
        <x:v>0</x:v>
      </x:c>
      <x:c r="H43" s="243" t="str">
        <x:f>IF(C43&lt;=$H$4,"사양 범위","110 dBSPL 초과")</x:f>
        <x:v>사양 범위</x:v>
      </x:c>
    </x:row>
    <x:row r="44" ht="20" customHeight="1">
      <x:c r="B44" s="220" t="n">
        <x:f>'Sound1 입력 음압 대비 ADC 출력'!B42</x:f>
        <x:v>62</x:v>
      </x:c>
      <x:c r="C44" s="221" t="n">
        <x:f>B44-$C$4</x:f>
        <x:v>70.293</x:v>
      </x:c>
      <x:c r="D44" s="221" t="n">
        <x:f>ROUND(C44+$E$4,3)</x:f>
        <x:v>62</x:v>
      </x:c>
      <x:c r="E44" s="222" t="n">
        <x:f>INT(262143*10^((ROUND(D44,3)-120)/20))</x:f>
        <x:v>330</x:v>
      </x:c>
      <x:c r="F44" s="222" t="n">
        <x:f>'Sound1 입력 음압 대비 ADC 출력'!C42</x:f>
        <x:v>330</x:v>
      </x:c>
      <x:c r="G44" s="237" t="n">
        <x:f>E44-F44</x:f>
        <x:v>0</x:v>
      </x:c>
      <x:c r="H44" s="242" t="str">
        <x:f>IF(C44&lt;=$H$4,"사양 범위","110 dBSPL 초과")</x:f>
        <x:v>사양 범위</x:v>
      </x:c>
    </x:row>
    <x:row r="45" ht="20" customHeight="1">
      <x:c r="B45" s="120" t="n">
        <x:f>'Sound1 입력 음압 대비 ADC 출력'!B43</x:f>
        <x:v>63</x:v>
      </x:c>
      <x:c r="C45" s="214" t="n">
        <x:f>B45-$C$4</x:f>
        <x:v>71.293</x:v>
      </x:c>
      <x:c r="D45" s="214" t="n">
        <x:f>ROUND(C45+$E$4,3)</x:f>
        <x:v>63</x:v>
      </x:c>
      <x:c r="E45" s="215" t="n">
        <x:f>INT(262143*10^((ROUND(D45,3)-120)/20))</x:f>
        <x:v>370</x:v>
      </x:c>
      <x:c r="F45" s="215" t="n">
        <x:f>'Sound1 입력 음압 대비 ADC 출력'!C43</x:f>
        <x:v>370</x:v>
      </x:c>
      <x:c r="G45" s="238" t="n">
        <x:f>E45-F45</x:f>
        <x:v>0</x:v>
      </x:c>
      <x:c r="H45" s="243" t="str">
        <x:f>IF(C45&lt;=$H$4,"사양 범위","110 dBSPL 초과")</x:f>
        <x:v>사양 범위</x:v>
      </x:c>
    </x:row>
    <x:row r="46" ht="20" customHeight="1">
      <x:c r="B46" s="220" t="n">
        <x:f>'Sound1 입력 음압 대비 ADC 출력'!B44</x:f>
        <x:v>64</x:v>
      </x:c>
      <x:c r="C46" s="221" t="n">
        <x:f>B46-$C$4</x:f>
        <x:v>72.293</x:v>
      </x:c>
      <x:c r="D46" s="221" t="n">
        <x:f>ROUND(C46+$E$4,3)</x:f>
        <x:v>64</x:v>
      </x:c>
      <x:c r="E46" s="222" t="n">
        <x:f>INT(262143*10^((ROUND(D46,3)-120)/20))</x:f>
        <x:v>415</x:v>
      </x:c>
      <x:c r="F46" s="222" t="n">
        <x:f>'Sound1 입력 음압 대비 ADC 출력'!C44</x:f>
        <x:v>415</x:v>
      </x:c>
      <x:c r="G46" s="237" t="n">
        <x:f>E46-F46</x:f>
        <x:v>0</x:v>
      </x:c>
      <x:c r="H46" s="242" t="str">
        <x:f>IF(C46&lt;=$H$4,"사양 범위","110 dBSPL 초과")</x:f>
        <x:v>사양 범위</x:v>
      </x:c>
    </x:row>
    <x:row r="47" ht="20" customHeight="1">
      <x:c r="B47" s="120" t="n">
        <x:f>'Sound1 입력 음압 대비 ADC 출력'!B45</x:f>
        <x:v>65</x:v>
      </x:c>
      <x:c r="C47" s="214" t="n">
        <x:f>B47-$C$4</x:f>
        <x:v>73.293</x:v>
      </x:c>
      <x:c r="D47" s="214" t="n">
        <x:f>ROUND(C47+$E$4,3)</x:f>
        <x:v>65</x:v>
      </x:c>
      <x:c r="E47" s="215" t="n">
        <x:f>INT(262143*10^((ROUND(D47,3)-120)/20))</x:f>
        <x:v>466</x:v>
      </x:c>
      <x:c r="F47" s="215" t="n">
        <x:f>'Sound1 입력 음압 대비 ADC 출력'!C45</x:f>
        <x:v>466</x:v>
      </x:c>
      <x:c r="G47" s="238" t="n">
        <x:f>E47-F47</x:f>
        <x:v>0</x:v>
      </x:c>
      <x:c r="H47" s="243" t="str">
        <x:f>IF(C47&lt;=$H$4,"사양 범위","110 dBSPL 초과")</x:f>
        <x:v>사양 범위</x:v>
      </x:c>
    </x:row>
    <x:row r="48" ht="20" customHeight="1">
      <x:c r="B48" s="220" t="n">
        <x:f>'Sound1 입력 음압 대비 ADC 출력'!B46</x:f>
        <x:v>66</x:v>
      </x:c>
      <x:c r="C48" s="221" t="n">
        <x:f>B48-$C$4</x:f>
        <x:v>74.293</x:v>
      </x:c>
      <x:c r="D48" s="221" t="n">
        <x:f>ROUND(C48+$E$4,3)</x:f>
        <x:v>66</x:v>
      </x:c>
      <x:c r="E48" s="222" t="n">
        <x:f>INT(262143*10^((ROUND(D48,3)-120)/20))</x:f>
        <x:v>523</x:v>
      </x:c>
      <x:c r="F48" s="222" t="n">
        <x:f>'Sound1 입력 음압 대비 ADC 출력'!C46</x:f>
        <x:v>523</x:v>
      </x:c>
      <x:c r="G48" s="237" t="n">
        <x:f>E48-F48</x:f>
        <x:v>0</x:v>
      </x:c>
      <x:c r="H48" s="242" t="str">
        <x:f>IF(C48&lt;=$H$4,"사양 범위","110 dBSPL 초과")</x:f>
        <x:v>사양 범위</x:v>
      </x:c>
    </x:row>
    <x:row r="49" ht="20" customHeight="1">
      <x:c r="B49" s="120" t="n">
        <x:f>'Sound1 입력 음압 대비 ADC 출력'!B47</x:f>
        <x:v>67</x:v>
      </x:c>
      <x:c r="C49" s="214" t="n">
        <x:f>B49-$C$4</x:f>
        <x:v>75.293</x:v>
      </x:c>
      <x:c r="D49" s="214" t="n">
        <x:f>ROUND(C49+$E$4,3)</x:f>
        <x:v>67</x:v>
      </x:c>
      <x:c r="E49" s="215" t="n">
        <x:f>INT(262143*10^((ROUND(D49,3)-120)/20))</x:f>
        <x:v>586</x:v>
      </x:c>
      <x:c r="F49" s="215" t="n">
        <x:f>'Sound1 입력 음압 대비 ADC 출력'!C47</x:f>
        <x:v>586</x:v>
      </x:c>
      <x:c r="G49" s="238" t="n">
        <x:f>E49-F49</x:f>
        <x:v>0</x:v>
      </x:c>
      <x:c r="H49" s="243" t="str">
        <x:f>IF(C49&lt;=$H$4,"사양 범위","110 dBSPL 초과")</x:f>
        <x:v>사양 범위</x:v>
      </x:c>
    </x:row>
    <x:row r="50" ht="20" customHeight="1">
      <x:c r="B50" s="220" t="n">
        <x:f>'Sound1 입력 음압 대비 ADC 출력'!B48</x:f>
        <x:v>68</x:v>
      </x:c>
      <x:c r="C50" s="221" t="n">
        <x:f>B50-$C$4</x:f>
        <x:v>76.293</x:v>
      </x:c>
      <x:c r="D50" s="221" t="n">
        <x:f>ROUND(C50+$E$4,3)</x:f>
        <x:v>68</x:v>
      </x:c>
      <x:c r="E50" s="222" t="n">
        <x:f>INT(262143*10^((ROUND(D50,3)-120)/20))</x:f>
        <x:v>658</x:v>
      </x:c>
      <x:c r="F50" s="222" t="n">
        <x:f>'Sound1 입력 음압 대비 ADC 출력'!C48</x:f>
        <x:v>658</x:v>
      </x:c>
      <x:c r="G50" s="237" t="n">
        <x:f>E50-F50</x:f>
        <x:v>0</x:v>
      </x:c>
      <x:c r="H50" s="242" t="str">
        <x:f>IF(C50&lt;=$H$4,"사양 범위","110 dBSPL 초과")</x:f>
        <x:v>사양 범위</x:v>
      </x:c>
    </x:row>
    <x:row r="51" ht="20" customHeight="1">
      <x:c r="B51" s="120" t="n">
        <x:f>'Sound1 입력 음압 대비 ADC 출력'!B49</x:f>
        <x:v>69</x:v>
      </x:c>
      <x:c r="C51" s="214" t="n">
        <x:f>B51-$C$4</x:f>
        <x:v>77.293</x:v>
      </x:c>
      <x:c r="D51" s="214" t="n">
        <x:f>ROUND(C51+$E$4,3)</x:f>
        <x:v>69</x:v>
      </x:c>
      <x:c r="E51" s="215" t="n">
        <x:f>INT(262143*10^((ROUND(D51,3)-120)/20))</x:f>
        <x:v>738</x:v>
      </x:c>
      <x:c r="F51" s="215" t="n">
        <x:f>'Sound1 입력 음압 대비 ADC 출력'!C49</x:f>
        <x:v>738</x:v>
      </x:c>
      <x:c r="G51" s="238" t="n">
        <x:f>E51-F51</x:f>
        <x:v>0</x:v>
      </x:c>
      <x:c r="H51" s="243" t="str">
        <x:f>IF(C51&lt;=$H$4,"사양 범위","110 dBSPL 초과")</x:f>
        <x:v>사양 범위</x:v>
      </x:c>
    </x:row>
    <x:row r="52" ht="20" customHeight="1">
      <x:c r="B52" s="220" t="n">
        <x:f>'Sound1 입력 음압 대비 ADC 출력'!B50</x:f>
        <x:v>70</x:v>
      </x:c>
      <x:c r="C52" s="221" t="n">
        <x:f>B52-$C$4</x:f>
        <x:v>78.293</x:v>
      </x:c>
      <x:c r="D52" s="221" t="n">
        <x:f>ROUND(C52+$E$4,3)</x:f>
        <x:v>70</x:v>
      </x:c>
      <x:c r="E52" s="222" t="n">
        <x:f>INT(262143*10^((ROUND(D52,3)-120)/20))</x:f>
        <x:v>828</x:v>
      </x:c>
      <x:c r="F52" s="222" t="n">
        <x:f>'Sound1 입력 음압 대비 ADC 출력'!C50</x:f>
        <x:v>828</x:v>
      </x:c>
      <x:c r="G52" s="237" t="n">
        <x:f>E52-F52</x:f>
        <x:v>0</x:v>
      </x:c>
      <x:c r="H52" s="242" t="str">
        <x:f>IF(C52&lt;=$H$4,"사양 범위","110 dBSPL 초과")</x:f>
        <x:v>사양 범위</x:v>
      </x:c>
    </x:row>
    <x:row r="53" ht="20" customHeight="1">
      <x:c r="B53" s="120" t="n">
        <x:f>'Sound1 입력 음압 대비 ADC 출력'!B51</x:f>
        <x:v>71</x:v>
      </x:c>
      <x:c r="C53" s="214" t="n">
        <x:f>B53-$C$4</x:f>
        <x:v>79.293</x:v>
      </x:c>
      <x:c r="D53" s="214" t="n">
        <x:f>ROUND(C53+$E$4,3)</x:f>
        <x:v>71</x:v>
      </x:c>
      <x:c r="E53" s="215" t="n">
        <x:f>INT(262143*10^((ROUND(D53,3)-120)/20))</x:f>
        <x:v>930</x:v>
      </x:c>
      <x:c r="F53" s="215" t="n">
        <x:f>'Sound1 입력 음압 대비 ADC 출력'!C51</x:f>
        <x:v>930</x:v>
      </x:c>
      <x:c r="G53" s="238" t="n">
        <x:f>E53-F53</x:f>
        <x:v>0</x:v>
      </x:c>
      <x:c r="H53" s="243" t="str">
        <x:f>IF(C53&lt;=$H$4,"사양 범위","110 dBSPL 초과")</x:f>
        <x:v>사양 범위</x:v>
      </x:c>
    </x:row>
    <x:row r="54" ht="20" customHeight="1">
      <x:c r="B54" s="220" t="n">
        <x:f>'Sound1 입력 음압 대비 ADC 출력'!B52</x:f>
        <x:v>72</x:v>
      </x:c>
      <x:c r="C54" s="221" t="n">
        <x:f>B54-$C$4</x:f>
        <x:v>80.293</x:v>
      </x:c>
      <x:c r="D54" s="221" t="n">
        <x:f>ROUND(C54+$E$4,3)</x:f>
        <x:v>72</x:v>
      </x:c>
      <x:c r="E54" s="222" t="n">
        <x:f>INT(262143*10^((ROUND(D54,3)-120)/20))</x:f>
        <x:v>1043</x:v>
      </x:c>
      <x:c r="F54" s="222" t="n">
        <x:f>'Sound1 입력 음압 대비 ADC 출력'!C52</x:f>
        <x:v>1043</x:v>
      </x:c>
      <x:c r="G54" s="237" t="n">
        <x:f>E54-F54</x:f>
        <x:v>0</x:v>
      </x:c>
      <x:c r="H54" s="242" t="str">
        <x:f>IF(C54&lt;=$H$4,"사양 범위","110 dBSPL 초과")</x:f>
        <x:v>사양 범위</x:v>
      </x:c>
    </x:row>
    <x:row r="55" ht="20" customHeight="1">
      <x:c r="B55" s="120" t="n">
        <x:f>'Sound1 입력 음압 대비 ADC 출력'!B53</x:f>
        <x:v>73</x:v>
      </x:c>
      <x:c r="C55" s="214" t="n">
        <x:f>B55-$C$4</x:f>
        <x:v>81.293</x:v>
      </x:c>
      <x:c r="D55" s="214" t="n">
        <x:f>ROUND(C55+$E$4,3)</x:f>
        <x:v>73</x:v>
      </x:c>
      <x:c r="E55" s="215" t="n">
        <x:f>INT(262143*10^((ROUND(D55,3)-120)/20))</x:f>
        <x:v>1170</x:v>
      </x:c>
      <x:c r="F55" s="215" t="n">
        <x:f>'Sound1 입력 음압 대비 ADC 출력'!C53</x:f>
        <x:v>1170</x:v>
      </x:c>
      <x:c r="G55" s="238" t="n">
        <x:f>E55-F55</x:f>
        <x:v>0</x:v>
      </x:c>
      <x:c r="H55" s="243" t="str">
        <x:f>IF(C55&lt;=$H$4,"사양 범위","110 dBSPL 초과")</x:f>
        <x:v>사양 범위</x:v>
      </x:c>
    </x:row>
    <x:row r="56" ht="20" customHeight="1">
      <x:c r="B56" s="220" t="n">
        <x:f>'Sound1 입력 음압 대비 ADC 출력'!B54</x:f>
        <x:v>74</x:v>
      </x:c>
      <x:c r="C56" s="221" t="n">
        <x:f>B56-$C$4</x:f>
        <x:v>82.293</x:v>
      </x:c>
      <x:c r="D56" s="221" t="n">
        <x:f>ROUND(C56+$E$4,3)</x:f>
        <x:v>74</x:v>
      </x:c>
      <x:c r="E56" s="222" t="n">
        <x:f>INT(262143*10^((ROUND(D56,3)-120)/20))</x:f>
        <x:v>1313</x:v>
      </x:c>
      <x:c r="F56" s="222" t="n">
        <x:f>'Sound1 입력 음압 대비 ADC 출력'!C54</x:f>
        <x:v>1313</x:v>
      </x:c>
      <x:c r="G56" s="237" t="n">
        <x:f>E56-F56</x:f>
        <x:v>0</x:v>
      </x:c>
      <x:c r="H56" s="242" t="str">
        <x:f>IF(C56&lt;=$H$4,"사양 범위","110 dBSPL 초과")</x:f>
        <x:v>사양 범위</x:v>
      </x:c>
    </x:row>
    <x:row r="57" ht="20" customHeight="1">
      <x:c r="B57" s="120" t="n">
        <x:f>'Sound1 입력 음압 대비 ADC 출력'!B55</x:f>
        <x:v>75</x:v>
      </x:c>
      <x:c r="C57" s="214" t="n">
        <x:f>B57-$C$4</x:f>
        <x:v>83.293</x:v>
      </x:c>
      <x:c r="D57" s="214" t="n">
        <x:f>ROUND(C57+$E$4,3)</x:f>
        <x:v>75</x:v>
      </x:c>
      <x:c r="E57" s="215" t="n">
        <x:f>INT(262143*10^((ROUND(D57,3)-120)/20))</x:f>
        <x:v>1474</x:v>
      </x:c>
      <x:c r="F57" s="215" t="n">
        <x:f>'Sound1 입력 음압 대비 ADC 출력'!C55</x:f>
        <x:v>1474</x:v>
      </x:c>
      <x:c r="G57" s="238" t="n">
        <x:f>E57-F57</x:f>
        <x:v>0</x:v>
      </x:c>
      <x:c r="H57" s="243" t="str">
        <x:f>IF(C57&lt;=$H$4,"사양 범위","110 dBSPL 초과")</x:f>
        <x:v>사양 범위</x:v>
      </x:c>
    </x:row>
    <x:row r="58" ht="20" customHeight="1">
      <x:c r="B58" s="220" t="n">
        <x:f>'Sound1 입력 음압 대비 ADC 출력'!B56</x:f>
        <x:v>76</x:v>
      </x:c>
      <x:c r="C58" s="221" t="n">
        <x:f>B58-$C$4</x:f>
        <x:v>84.293</x:v>
      </x:c>
      <x:c r="D58" s="221" t="n">
        <x:f>ROUND(C58+$E$4,3)</x:f>
        <x:v>76</x:v>
      </x:c>
      <x:c r="E58" s="222" t="n">
        <x:f>INT(262143*10^((ROUND(D58,3)-120)/20))</x:f>
        <x:v>1654</x:v>
      </x:c>
      <x:c r="F58" s="222" t="n">
        <x:f>'Sound1 입력 음압 대비 ADC 출력'!C56</x:f>
        <x:v>1654</x:v>
      </x:c>
      <x:c r="G58" s="237" t="n">
        <x:f>E58-F58</x:f>
        <x:v>0</x:v>
      </x:c>
      <x:c r="H58" s="242" t="str">
        <x:f>IF(C58&lt;=$H$4,"사양 범위","110 dBSPL 초과")</x:f>
        <x:v>사양 범위</x:v>
      </x:c>
    </x:row>
    <x:row r="59" ht="20" customHeight="1">
      <x:c r="B59" s="120" t="n">
        <x:f>'Sound1 입력 음압 대비 ADC 출력'!B57</x:f>
        <x:v>77</x:v>
      </x:c>
      <x:c r="C59" s="214" t="n">
        <x:f>B59-$C$4</x:f>
        <x:v>85.293</x:v>
      </x:c>
      <x:c r="D59" s="214" t="n">
        <x:f>ROUND(C59+$E$4,3)</x:f>
        <x:v>77</x:v>
      </x:c>
      <x:c r="E59" s="215" t="n">
        <x:f>INT(262143*10^((ROUND(D59,3)-120)/20))</x:f>
        <x:v>1855</x:v>
      </x:c>
      <x:c r="F59" s="215" t="n">
        <x:f>'Sound1 입력 음압 대비 ADC 출력'!C57</x:f>
        <x:v>1855</x:v>
      </x:c>
      <x:c r="G59" s="238" t="n">
        <x:f>E59-F59</x:f>
        <x:v>0</x:v>
      </x:c>
      <x:c r="H59" s="243" t="str">
        <x:f>IF(C59&lt;=$H$4,"사양 범위","110 dBSPL 초과")</x:f>
        <x:v>사양 범위</x:v>
      </x:c>
    </x:row>
    <x:row r="60" ht="20" customHeight="1">
      <x:c r="B60" s="220" t="n">
        <x:f>'Sound1 입력 음압 대비 ADC 출력'!B58</x:f>
        <x:v>78</x:v>
      </x:c>
      <x:c r="C60" s="221" t="n">
        <x:f>B60-$C$4</x:f>
        <x:v>86.293</x:v>
      </x:c>
      <x:c r="D60" s="221" t="n">
        <x:f>ROUND(C60+$E$4,3)</x:f>
        <x:v>78</x:v>
      </x:c>
      <x:c r="E60" s="222" t="n">
        <x:f>INT(262143*10^((ROUND(D60,3)-120)/20))</x:f>
        <x:v>2082</x:v>
      </x:c>
      <x:c r="F60" s="222" t="n">
        <x:f>'Sound1 입력 음압 대비 ADC 출력'!C58</x:f>
        <x:v>2082</x:v>
      </x:c>
      <x:c r="G60" s="237" t="n">
        <x:f>E60-F60</x:f>
        <x:v>0</x:v>
      </x:c>
      <x:c r="H60" s="242" t="str">
        <x:f>IF(C60&lt;=$H$4,"사양 범위","110 dBSPL 초과")</x:f>
        <x:v>사양 범위</x:v>
      </x:c>
    </x:row>
    <x:row r="61" ht="20" customHeight="1">
      <x:c r="B61" s="120" t="n">
        <x:f>'Sound1 입력 음압 대비 ADC 출력'!B59</x:f>
        <x:v>79</x:v>
      </x:c>
      <x:c r="C61" s="214" t="n">
        <x:f>B61-$C$4</x:f>
        <x:v>87.293</x:v>
      </x:c>
      <x:c r="D61" s="214" t="n">
        <x:f>ROUND(C61+$E$4,3)</x:f>
        <x:v>79</x:v>
      </x:c>
      <x:c r="E61" s="215" t="n">
        <x:f>INT(262143*10^((ROUND(D61,3)-120)/20))</x:f>
        <x:v>2336</x:v>
      </x:c>
      <x:c r="F61" s="215" t="n">
        <x:f>'Sound1 입력 음압 대비 ADC 출력'!C59</x:f>
        <x:v>2336</x:v>
      </x:c>
      <x:c r="G61" s="238" t="n">
        <x:f>E61-F61</x:f>
        <x:v>0</x:v>
      </x:c>
      <x:c r="H61" s="243" t="str">
        <x:f>IF(C61&lt;=$H$4,"사양 범위","110 dBSPL 초과")</x:f>
        <x:v>사양 범위</x:v>
      </x:c>
    </x:row>
    <x:row r="62" ht="20" customHeight="1">
      <x:c r="B62" s="220" t="n">
        <x:f>'Sound1 입력 음압 대비 ADC 출력'!B60</x:f>
        <x:v>80</x:v>
      </x:c>
      <x:c r="C62" s="221" t="n">
        <x:f>B62-$C$4</x:f>
        <x:v>88.293</x:v>
      </x:c>
      <x:c r="D62" s="221" t="n">
        <x:f>ROUND(C62+$E$4,3)</x:f>
        <x:v>80</x:v>
      </x:c>
      <x:c r="E62" s="222" t="n">
        <x:f>INT(262143*10^((ROUND(D62,3)-120)/20))</x:f>
        <x:v>2621</x:v>
      </x:c>
      <x:c r="F62" s="222" t="n">
        <x:f>'Sound1 입력 음압 대비 ADC 출력'!C60</x:f>
        <x:v>2621</x:v>
      </x:c>
      <x:c r="G62" s="237" t="n">
        <x:f>E62-F62</x:f>
        <x:v>0</x:v>
      </x:c>
      <x:c r="H62" s="242" t="str">
        <x:f>IF(C62&lt;=$H$4,"사양 범위","110 dBSPL 초과")</x:f>
        <x:v>사양 범위</x:v>
      </x:c>
    </x:row>
    <x:row r="63" ht="20" customHeight="1">
      <x:c r="B63" s="120" t="n">
        <x:f>'Sound1 입력 음압 대비 ADC 출력'!B61</x:f>
        <x:v>81</x:v>
      </x:c>
      <x:c r="C63" s="214" t="n">
        <x:f>B63-$C$4</x:f>
        <x:v>89.293</x:v>
      </x:c>
      <x:c r="D63" s="214" t="n">
        <x:f>ROUND(C63+$E$4,3)</x:f>
        <x:v>81</x:v>
      </x:c>
      <x:c r="E63" s="215" t="n">
        <x:f>INT(262143*10^((ROUND(D63,3)-120)/20))</x:f>
        <x:v>2941</x:v>
      </x:c>
      <x:c r="F63" s="215" t="n">
        <x:f>'Sound1 입력 음압 대비 ADC 출력'!C61</x:f>
        <x:v>2941</x:v>
      </x:c>
      <x:c r="G63" s="238" t="n">
        <x:f>E63-F63</x:f>
        <x:v>0</x:v>
      </x:c>
      <x:c r="H63" s="243" t="str">
        <x:f>IF(C63&lt;=$H$4,"사양 범위","110 dBSPL 초과")</x:f>
        <x:v>사양 범위</x:v>
      </x:c>
    </x:row>
    <x:row r="64" ht="20" customHeight="1">
      <x:c r="B64" s="220" t="n">
        <x:f>'Sound1 입력 음압 대비 ADC 출력'!B62</x:f>
        <x:v>82</x:v>
      </x:c>
      <x:c r="C64" s="221" t="n">
        <x:f>B64-$C$4</x:f>
        <x:v>90.293</x:v>
      </x:c>
      <x:c r="D64" s="221" t="n">
        <x:f>ROUND(C64+$E$4,3)</x:f>
        <x:v>82</x:v>
      </x:c>
      <x:c r="E64" s="222" t="n">
        <x:f>INT(262143*10^((ROUND(D64,3)-120)/20))</x:f>
        <x:v>3300</x:v>
      </x:c>
      <x:c r="F64" s="222" t="n">
        <x:f>'Sound1 입력 음압 대비 ADC 출력'!C62</x:f>
        <x:v>3300</x:v>
      </x:c>
      <x:c r="G64" s="237" t="n">
        <x:f>E64-F64</x:f>
        <x:v>0</x:v>
      </x:c>
      <x:c r="H64" s="242" t="str">
        <x:f>IF(C64&lt;=$H$4,"사양 범위","110 dBSPL 초과")</x:f>
        <x:v>사양 범위</x:v>
      </x:c>
    </x:row>
    <x:row r="65" ht="20" customHeight="1">
      <x:c r="B65" s="120" t="n">
        <x:f>'Sound1 입력 음압 대비 ADC 출력'!B63</x:f>
        <x:v>83</x:v>
      </x:c>
      <x:c r="C65" s="214" t="n">
        <x:f>B65-$C$4</x:f>
        <x:v>91.293</x:v>
      </x:c>
      <x:c r="D65" s="214" t="n">
        <x:f>ROUND(C65+$E$4,3)</x:f>
        <x:v>83</x:v>
      </x:c>
      <x:c r="E65" s="215" t="n">
        <x:f>INT(262143*10^((ROUND(D65,3)-120)/20))</x:f>
        <x:v>3702</x:v>
      </x:c>
      <x:c r="F65" s="215" t="n">
        <x:f>'Sound1 입력 음압 대비 ADC 출력'!C63</x:f>
        <x:v>3702</x:v>
      </x:c>
      <x:c r="G65" s="238" t="n">
        <x:f>E65-F65</x:f>
        <x:v>0</x:v>
      </x:c>
      <x:c r="H65" s="243" t="str">
        <x:f>IF(C65&lt;=$H$4,"사양 범위","110 dBSPL 초과")</x:f>
        <x:v>사양 범위</x:v>
      </x:c>
    </x:row>
    <x:row r="66" ht="20" customHeight="1">
      <x:c r="B66" s="220" t="n">
        <x:f>'Sound1 입력 음압 대비 ADC 출력'!B64</x:f>
        <x:v>84</x:v>
      </x:c>
      <x:c r="C66" s="221" t="n">
        <x:f>B66-$C$4</x:f>
        <x:v>92.293</x:v>
      </x:c>
      <x:c r="D66" s="221" t="n">
        <x:f>ROUND(C66+$E$4,3)</x:f>
        <x:v>84</x:v>
      </x:c>
      <x:c r="E66" s="222" t="n">
        <x:f>INT(262143*10^((ROUND(D66,3)-120)/20))</x:f>
        <x:v>4154</x:v>
      </x:c>
      <x:c r="F66" s="222" t="n">
        <x:f>'Sound1 입력 음압 대비 ADC 출력'!C64</x:f>
        <x:v>4154</x:v>
      </x:c>
      <x:c r="G66" s="237" t="n">
        <x:f>E66-F66</x:f>
        <x:v>0</x:v>
      </x:c>
      <x:c r="H66" s="242" t="str">
        <x:f>IF(C66&lt;=$H$4,"사양 범위","110 dBSPL 초과")</x:f>
        <x:v>사양 범위</x:v>
      </x:c>
    </x:row>
    <x:row r="67" ht="20" customHeight="1">
      <x:c r="B67" s="120" t="n">
        <x:f>'Sound1 입력 음압 대비 ADC 출력'!B65</x:f>
        <x:v>85</x:v>
      </x:c>
      <x:c r="C67" s="214" t="n">
        <x:f>B67-$C$4</x:f>
        <x:v>93.293</x:v>
      </x:c>
      <x:c r="D67" s="214" t="n">
        <x:f>ROUND(C67+$E$4,3)</x:f>
        <x:v>85</x:v>
      </x:c>
      <x:c r="E67" s="215" t="n">
        <x:f>INT(262143*10^((ROUND(D67,3)-120)/20))</x:f>
        <x:v>4661</x:v>
      </x:c>
      <x:c r="F67" s="215" t="n">
        <x:f>'Sound1 입력 음압 대비 ADC 출력'!C65</x:f>
        <x:v>4661</x:v>
      </x:c>
      <x:c r="G67" s="238" t="n">
        <x:f>E67-F67</x:f>
        <x:v>0</x:v>
      </x:c>
      <x:c r="H67" s="243" t="str">
        <x:f>IF(C67&lt;=$H$4,"사양 범위","110 dBSPL 초과")</x:f>
        <x:v>사양 범위</x:v>
      </x:c>
    </x:row>
    <x:row r="68" ht="20" customHeight="1">
      <x:c r="B68" s="220" t="n">
        <x:f>'Sound1 입력 음압 대비 ADC 출력'!B66</x:f>
        <x:v>86</x:v>
      </x:c>
      <x:c r="C68" s="221" t="n">
        <x:f>B68-$C$4</x:f>
        <x:v>94.293</x:v>
      </x:c>
      <x:c r="D68" s="221" t="n">
        <x:f>ROUND(C68+$E$4,3)</x:f>
        <x:v>86</x:v>
      </x:c>
      <x:c r="E68" s="222" t="n">
        <x:f>INT(262143*10^((ROUND(D68,3)-120)/20))</x:f>
        <x:v>5230</x:v>
      </x:c>
      <x:c r="F68" s="222" t="n">
        <x:f>'Sound1 입력 음압 대비 ADC 출력'!C66</x:f>
        <x:v>5230</x:v>
      </x:c>
      <x:c r="G68" s="237" t="n">
        <x:f>E68-F68</x:f>
        <x:v>0</x:v>
      </x:c>
      <x:c r="H68" s="242" t="str">
        <x:f>IF(C68&lt;=$H$4,"사양 범위","110 dBSPL 초과")</x:f>
        <x:v>사양 범위</x:v>
      </x:c>
    </x:row>
    <x:row r="69" ht="20" customHeight="1">
      <x:c r="B69" s="120" t="n">
        <x:f>'Sound1 입력 음압 대비 ADC 출력'!B67</x:f>
        <x:v>87</x:v>
      </x:c>
      <x:c r="C69" s="214" t="n">
        <x:f>B69-$C$4</x:f>
        <x:v>95.293</x:v>
      </x:c>
      <x:c r="D69" s="214" t="n">
        <x:f>ROUND(C69+$E$4,3)</x:f>
        <x:v>87</x:v>
      </x:c>
      <x:c r="E69" s="215" t="n">
        <x:f>INT(262143*10^((ROUND(D69,3)-120)/20))</x:f>
        <x:v>5868</x:v>
      </x:c>
      <x:c r="F69" s="215" t="n">
        <x:f>'Sound1 입력 음압 대비 ADC 출력'!C67</x:f>
        <x:v>5868</x:v>
      </x:c>
      <x:c r="G69" s="238" t="n">
        <x:f>E69-F69</x:f>
        <x:v>0</x:v>
      </x:c>
      <x:c r="H69" s="243" t="str">
        <x:f>IF(C69&lt;=$H$4,"사양 범위","110 dBSPL 초과")</x:f>
        <x:v>사양 범위</x:v>
      </x:c>
    </x:row>
    <x:row r="70" ht="20" customHeight="1">
      <x:c r="B70" s="220" t="n">
        <x:f>'Sound1 입력 음압 대비 ADC 출력'!B68</x:f>
        <x:v>88</x:v>
      </x:c>
      <x:c r="C70" s="221" t="n">
        <x:f>B70-$C$4</x:f>
        <x:v>96.293</x:v>
      </x:c>
      <x:c r="D70" s="221" t="n">
        <x:f>ROUND(C70+$E$4,3)</x:f>
        <x:v>88</x:v>
      </x:c>
      <x:c r="E70" s="222" t="n">
        <x:f>INT(262143*10^((ROUND(D70,3)-120)/20))</x:f>
        <x:v>6584</x:v>
      </x:c>
      <x:c r="F70" s="222" t="n">
        <x:f>'Sound1 입력 음압 대비 ADC 출력'!C68</x:f>
        <x:v>6564</x:v>
      </x:c>
      <x:c r="G70" s="237" t="n">
        <x:f>E70-F70</x:f>
        <x:v>20</x:v>
      </x:c>
      <x:c r="H70" s="242" t="str">
        <x:f>IF(C70&lt;=$H$4,"사양 범위","110 dBSPL 초과")</x:f>
        <x:v>사양 범위</x:v>
      </x:c>
    </x:row>
    <x:row r="71" ht="20" customHeight="1">
      <x:c r="B71" s="120" t="n">
        <x:f>'Sound1 입력 음압 대비 ADC 출력'!B69</x:f>
        <x:v>89</x:v>
      </x:c>
      <x:c r="C71" s="214" t="n">
        <x:f>B71-$C$4</x:f>
        <x:v>97.293</x:v>
      </x:c>
      <x:c r="D71" s="214" t="n">
        <x:f>ROUND(C71+$E$4,3)</x:f>
        <x:v>89</x:v>
      </x:c>
      <x:c r="E71" s="215" t="n">
        <x:f>INT(262143*10^((ROUND(D71,3)-120)/20))</x:f>
        <x:v>7388</x:v>
      </x:c>
      <x:c r="F71" s="215" t="n">
        <x:f>'Sound1 입력 음압 대비 ADC 출력'!C69</x:f>
        <x:v>7388</x:v>
      </x:c>
      <x:c r="G71" s="238" t="n">
        <x:f>E71-F71</x:f>
        <x:v>0</x:v>
      </x:c>
      <x:c r="H71" s="243" t="str">
        <x:f>IF(C71&lt;=$H$4,"사양 범위","110 dBSPL 초과")</x:f>
        <x:v>사양 범위</x:v>
      </x:c>
    </x:row>
    <x:row r="72" ht="20" customHeight="1">
      <x:c r="B72" s="220" t="n">
        <x:f>'Sound1 입력 음압 대비 ADC 출력'!B70</x:f>
        <x:v>90</x:v>
      </x:c>
      <x:c r="C72" s="221" t="n">
        <x:f>B72-$C$4</x:f>
        <x:v>98.293</x:v>
      </x:c>
      <x:c r="D72" s="221" t="n">
        <x:f>ROUND(C72+$E$4,3)</x:f>
        <x:v>90</x:v>
      </x:c>
      <x:c r="E72" s="222" t="n">
        <x:f>INT(262143*10^((ROUND(D72,3)-120)/20))</x:f>
        <x:v>8289</x:v>
      </x:c>
      <x:c r="F72" s="222" t="n">
        <x:f>'Sound1 입력 음압 대비 ADC 출력'!C70</x:f>
        <x:v>8289</x:v>
      </x:c>
      <x:c r="G72" s="237" t="n">
        <x:f>E72-F72</x:f>
        <x:v>0</x:v>
      </x:c>
      <x:c r="H72" s="242" t="str">
        <x:f>IF(C72&lt;=$H$4,"사양 범위","110 dBSPL 초과")</x:f>
        <x:v>사양 범위</x:v>
      </x:c>
    </x:row>
    <x:row r="73" ht="20" customHeight="1">
      <x:c r="B73" s="120" t="n">
        <x:f>'Sound1 입력 음압 대비 ADC 출력'!B71</x:f>
        <x:v>91</x:v>
      </x:c>
      <x:c r="C73" s="214" t="n">
        <x:f>B73-$C$4</x:f>
        <x:v>99.293</x:v>
      </x:c>
      <x:c r="D73" s="214" t="n">
        <x:f>ROUND(C73+$E$4,3)</x:f>
        <x:v>91</x:v>
      </x:c>
      <x:c r="E73" s="215" t="n">
        <x:f>INT(262143*10^((ROUND(D73,3)-120)/20))</x:f>
        <x:v>9301</x:v>
      </x:c>
      <x:c r="F73" s="215" t="n">
        <x:f>'Sound1 입력 음압 대비 ADC 출력'!C71</x:f>
        <x:v>9301</x:v>
      </x:c>
      <x:c r="G73" s="238" t="n">
        <x:f>E73-F73</x:f>
        <x:v>0</x:v>
      </x:c>
      <x:c r="H73" s="243" t="str">
        <x:f>IF(C73&lt;=$H$4,"사양 범위","110 dBSPL 초과")</x:f>
        <x:v>사양 범위</x:v>
      </x:c>
    </x:row>
    <x:row r="74" ht="20" customHeight="1">
      <x:c r="B74" s="220" t="n">
        <x:f>'Sound1 입력 음압 대비 ADC 출력'!B72</x:f>
        <x:v>92</x:v>
      </x:c>
      <x:c r="C74" s="221" t="n">
        <x:f>B74-$C$4</x:f>
        <x:v>100.293</x:v>
      </x:c>
      <x:c r="D74" s="221" t="n">
        <x:f>ROUND(C74+$E$4,3)</x:f>
        <x:v>92</x:v>
      </x:c>
      <x:c r="E74" s="222" t="n">
        <x:f>INT(262143*10^((ROUND(D74,3)-120)/20))</x:f>
        <x:v>10436</x:v>
      </x:c>
      <x:c r="F74" s="222" t="n">
        <x:f>'Sound1 입력 음압 대비 ADC 출력'!C72</x:f>
        <x:v>10436</x:v>
      </x:c>
      <x:c r="G74" s="237" t="n">
        <x:f>E74-F74</x:f>
        <x:v>0</x:v>
      </x:c>
      <x:c r="H74" s="242" t="str">
        <x:f>IF(C74&lt;=$H$4,"사양 범위","110 dBSPL 초과")</x:f>
        <x:v>사양 범위</x:v>
      </x:c>
    </x:row>
    <x:row r="75" ht="20" customHeight="1">
      <x:c r="B75" s="120" t="n">
        <x:f>'Sound1 입력 음압 대비 ADC 출력'!B73</x:f>
        <x:v>93</x:v>
      </x:c>
      <x:c r="C75" s="214" t="n">
        <x:f>B75-$C$4</x:f>
        <x:v>101.293</x:v>
      </x:c>
      <x:c r="D75" s="214" t="n">
        <x:f>ROUND(C75+$E$4,3)</x:f>
        <x:v>93</x:v>
      </x:c>
      <x:c r="E75" s="215" t="n">
        <x:f>INT(262143*10^((ROUND(D75,3)-120)/20))</x:f>
        <x:v>11709</x:v>
      </x:c>
      <x:c r="F75" s="215" t="n">
        <x:f>'Sound1 입력 음압 대비 ADC 출력'!C73</x:f>
        <x:v>11709</x:v>
      </x:c>
      <x:c r="G75" s="238" t="n">
        <x:f>E75-F75</x:f>
        <x:v>0</x:v>
      </x:c>
      <x:c r="H75" s="243" t="str">
        <x:f>IF(C75&lt;=$H$4,"사양 범위","110 dBSPL 초과")</x:f>
        <x:v>사양 범위</x:v>
      </x:c>
    </x:row>
    <x:row r="76" ht="20" customHeight="1">
      <x:c r="B76" s="220" t="n">
        <x:f>'Sound1 입력 음압 대비 ADC 출력'!B74</x:f>
        <x:v>94</x:v>
      </x:c>
      <x:c r="C76" s="221" t="n">
        <x:f>B76-$C$4</x:f>
        <x:v>102.293</x:v>
      </x:c>
      <x:c r="D76" s="221" t="n">
        <x:f>ROUND(C76+$E$4,3)</x:f>
        <x:v>94</x:v>
      </x:c>
      <x:c r="E76" s="222" t="n">
        <x:f>INT(262143*10^((ROUND(D76,3)-120)/20))</x:f>
        <x:v>13138</x:v>
      </x:c>
      <x:c r="F76" s="222" t="n">
        <x:f>'Sound1 입력 음압 대비 ADC 출력'!C74</x:f>
        <x:v>13138</x:v>
      </x:c>
      <x:c r="G76" s="237" t="n">
        <x:f>E76-F76</x:f>
        <x:v>0</x:v>
      </x:c>
      <x:c r="H76" s="242" t="str">
        <x:f>IF(C76&lt;=$H$4,"사양 범위","110 dBSPL 초과")</x:f>
        <x:v>사양 범위</x:v>
      </x:c>
    </x:row>
    <x:row r="77" ht="20" customHeight="1">
      <x:c r="B77" s="120" t="n">
        <x:f>'Sound1 입력 음압 대비 ADC 출력'!B75</x:f>
        <x:v>95</x:v>
      </x:c>
      <x:c r="C77" s="214" t="n">
        <x:f>B77-$C$4</x:f>
        <x:v>103.293</x:v>
      </x:c>
      <x:c r="D77" s="214" t="n">
        <x:f>ROUND(C77+$E$4,3)</x:f>
        <x:v>95</x:v>
      </x:c>
      <x:c r="E77" s="215" t="n">
        <x:f>INT(262143*10^((ROUND(D77,3)-120)/20))</x:f>
        <x:v>14741</x:v>
      </x:c>
      <x:c r="F77" s="215" t="n">
        <x:f>'Sound1 입력 음압 대비 ADC 출력'!C75</x:f>
        <x:v>14741</x:v>
      </x:c>
      <x:c r="G77" s="238" t="n">
        <x:f>E77-F77</x:f>
        <x:v>0</x:v>
      </x:c>
      <x:c r="H77" s="243" t="str">
        <x:f>IF(C77&lt;=$H$4,"사양 범위","110 dBSPL 초과")</x:f>
        <x:v>사양 범위</x:v>
      </x:c>
    </x:row>
    <x:row r="78" ht="20" customHeight="1">
      <x:c r="B78" s="220" t="n">
        <x:f>'Sound1 입력 음압 대비 ADC 출력'!B76</x:f>
        <x:v>96</x:v>
      </x:c>
      <x:c r="C78" s="221" t="n">
        <x:f>B78-$C$4</x:f>
        <x:v>104.293</x:v>
      </x:c>
      <x:c r="D78" s="221" t="n">
        <x:f>ROUND(C78+$E$4,3)</x:f>
        <x:v>96</x:v>
      </x:c>
      <x:c r="E78" s="222" t="n">
        <x:f>INT(262143*10^((ROUND(D78,3)-120)/20))</x:f>
        <x:v>16540</x:v>
      </x:c>
      <x:c r="F78" s="222" t="n">
        <x:f>'Sound1 입력 음압 대비 ADC 출력'!C76</x:f>
        <x:v>16540</x:v>
      </x:c>
      <x:c r="G78" s="237" t="n">
        <x:f>E78-F78</x:f>
        <x:v>0</x:v>
      </x:c>
      <x:c r="H78" s="242" t="str">
        <x:f>IF(C78&lt;=$H$4,"사양 범위","110 dBSPL 초과")</x:f>
        <x:v>사양 범위</x:v>
      </x:c>
    </x:row>
    <x:row r="79" ht="20" customHeight="1">
      <x:c r="B79" s="120" t="n">
        <x:f>'Sound1 입력 음압 대비 ADC 출력'!B77</x:f>
        <x:v>97</x:v>
      </x:c>
      <x:c r="C79" s="214" t="n">
        <x:f>B79-$C$4</x:f>
        <x:v>105.293</x:v>
      </x:c>
      <x:c r="D79" s="214" t="n">
        <x:f>ROUND(C79+$E$4,3)</x:f>
        <x:v>97</x:v>
      </x:c>
      <x:c r="E79" s="215" t="n">
        <x:f>INT(262143*10^((ROUND(D79,3)-120)/20))</x:f>
        <x:v>18558</x:v>
      </x:c>
      <x:c r="F79" s="215" t="n">
        <x:f>'Sound1 입력 음압 대비 ADC 출력'!C77</x:f>
        <x:v>18558</x:v>
      </x:c>
      <x:c r="G79" s="238" t="n">
        <x:f>E79-F79</x:f>
        <x:v>0</x:v>
      </x:c>
      <x:c r="H79" s="243" t="str">
        <x:f>IF(C79&lt;=$H$4,"사양 범위","110 dBSPL 초과")</x:f>
        <x:v>사양 범위</x:v>
      </x:c>
    </x:row>
    <x:row r="80" ht="20" customHeight="1">
      <x:c r="B80" s="220" t="n">
        <x:f>'Sound1 입력 음압 대비 ADC 출력'!B78</x:f>
        <x:v>98</x:v>
      </x:c>
      <x:c r="C80" s="221" t="n">
        <x:f>B80-$C$4</x:f>
        <x:v>106.293</x:v>
      </x:c>
      <x:c r="D80" s="221" t="n">
        <x:f>ROUND(C80+$E$4,3)</x:f>
        <x:v>98</x:v>
      </x:c>
      <x:c r="E80" s="222" t="n">
        <x:f>INT(262143*10^((ROUND(D80,3)-120)/20))</x:f>
        <x:v>20822</x:v>
      </x:c>
      <x:c r="F80" s="222" t="n">
        <x:f>'Sound1 입력 음압 대비 ADC 출력'!C78</x:f>
        <x:v>20822</x:v>
      </x:c>
      <x:c r="G80" s="237" t="n">
        <x:f>E80-F80</x:f>
        <x:v>0</x:v>
      </x:c>
      <x:c r="H80" s="242" t="str">
        <x:f>IF(C80&lt;=$H$4,"사양 범위","110 dBSPL 초과")</x:f>
        <x:v>사양 범위</x:v>
      </x:c>
    </x:row>
    <x:row r="81" ht="20" customHeight="1">
      <x:c r="B81" s="120" t="n">
        <x:f>'Sound1 입력 음압 대비 ADC 출력'!B79</x:f>
        <x:v>99</x:v>
      </x:c>
      <x:c r="C81" s="214" t="n">
        <x:f>B81-$C$4</x:f>
        <x:v>107.293</x:v>
      </x:c>
      <x:c r="D81" s="214" t="n">
        <x:f>ROUND(C81+$E$4,3)</x:f>
        <x:v>99</x:v>
      </x:c>
      <x:c r="E81" s="215" t="n">
        <x:f>INT(262143*10^((ROUND(D81,3)-120)/20))</x:f>
        <x:v>23363</x:v>
      </x:c>
      <x:c r="F81" s="215" t="n">
        <x:f>'Sound1 입력 음압 대비 ADC 출력'!C79</x:f>
        <x:v>23363</x:v>
      </x:c>
      <x:c r="G81" s="238" t="n">
        <x:f>E81-F81</x:f>
        <x:v>0</x:v>
      </x:c>
      <x:c r="H81" s="243" t="str">
        <x:f>IF(C81&lt;=$H$4,"사양 범위","110 dBSPL 초과")</x:f>
        <x:v>사양 범위</x:v>
      </x:c>
    </x:row>
    <x:row r="82" ht="20" customHeight="1">
      <x:c r="B82" s="220" t="n">
        <x:f>'Sound1 입력 음압 대비 ADC 출력'!B80</x:f>
        <x:v>100</x:v>
      </x:c>
      <x:c r="C82" s="221" t="n">
        <x:f>B82-$C$4</x:f>
        <x:v>108.293</x:v>
      </x:c>
      <x:c r="D82" s="221" t="n">
        <x:f>ROUND(C82+$E$4,3)</x:f>
        <x:v>100</x:v>
      </x:c>
      <x:c r="E82" s="222" t="n">
        <x:f>INT(262143*10^((ROUND(D82,3)-120)/20))</x:f>
        <x:v>26214</x:v>
      </x:c>
      <x:c r="F82" s="222" t="n">
        <x:f>'Sound1 입력 음압 대비 ADC 출력'!C80</x:f>
        <x:v>26214</x:v>
      </x:c>
      <x:c r="G82" s="237" t="n">
        <x:f>E82-F82</x:f>
        <x:v>0</x:v>
      </x:c>
      <x:c r="H82" s="242" t="str">
        <x:f>IF(C82&lt;=$H$4,"사양 범위","110 dBSPL 초과")</x:f>
        <x:v>사양 범위</x:v>
      </x:c>
    </x:row>
    <x:row r="83" ht="20" customHeight="1">
      <x:c r="B83" s="120" t="n">
        <x:f>'Sound1 입력 음압 대비 ADC 출력'!B81</x:f>
        <x:v>101</x:v>
      </x:c>
      <x:c r="C83" s="214" t="n">
        <x:f>B83-$C$4</x:f>
        <x:v>109.293</x:v>
      </x:c>
      <x:c r="D83" s="214" t="n">
        <x:f>ROUND(C83+$E$4,3)</x:f>
        <x:v>101</x:v>
      </x:c>
      <x:c r="E83" s="215" t="n">
        <x:f>INT(262143*10^((ROUND(D83,3)-120)/20))</x:f>
        <x:v>29412</x:v>
      </x:c>
      <x:c r="F83" s="215" t="n">
        <x:f>'Sound1 입력 음압 대비 ADC 출력'!C81</x:f>
        <x:v>29413</x:v>
      </x:c>
      <x:c r="G83" s="238" t="n">
        <x:f>E83-F83</x:f>
        <x:v>-1</x:v>
      </x:c>
      <x:c r="H83" s="243" t="str">
        <x:f>IF(C83&lt;=$H$4,"사양 범위","110 dBSPL 초과")</x:f>
        <x:v>사양 범위</x:v>
      </x:c>
    </x:row>
    <x:row r="84" ht="20" customHeight="1">
      <x:c r="B84" s="224" t="n">
        <x:f>'Sound1 입력 음압 대비 ADC 출력'!B82</x:f>
        <x:v>102</x:v>
      </x:c>
      <x:c r="C84" s="225" t="n">
        <x:f>B84-$C$4</x:f>
        <x:v>110.293</x:v>
      </x:c>
      <x:c r="D84" s="225" t="n">
        <x:f>ROUND(C84+$E$4,3)</x:f>
        <x:v>102</x:v>
      </x:c>
      <x:c r="E84" s="226" t="n">
        <x:f>INT(262143*10^((ROUND(D84,3)-120)/20))</x:f>
        <x:v>33001</x:v>
      </x:c>
      <x:c r="F84" s="226" t="n">
        <x:f>'Sound1 입력 음압 대비 ADC 출력'!C82</x:f>
        <x:v>33001</x:v>
      </x:c>
      <x:c r="G84" s="239" t="n">
        <x:f>E84-F84</x:f>
        <x:v>0</x:v>
      </x:c>
      <x:c r="H84" s="244" t="str">
        <x:f>IF(C84&lt;=$H$4,"사양 범위","110 dBSPL 초과")</x:f>
        <x:v>110 dBSPL 초과</x:v>
      </x:c>
    </x:row>
    <x:row r="85" ht="20" customHeight="1">
      <x:c r="B85" s="224" t="n">
        <x:f>'Sound1 입력 음압 대비 ADC 출력'!B83</x:f>
        <x:v>103</x:v>
      </x:c>
      <x:c r="C85" s="225" t="n">
        <x:f>B85-$C$4</x:f>
        <x:v>111.293</x:v>
      </x:c>
      <x:c r="D85" s="225" t="n">
        <x:f>ROUND(C85+$E$4,3)</x:f>
        <x:v>103</x:v>
      </x:c>
      <x:c r="E85" s="226" t="n">
        <x:f>INT(262143*10^((ROUND(D85,3)-120)/20))</x:f>
        <x:v>37028</x:v>
      </x:c>
      <x:c r="F85" s="226" t="n">
        <x:f>'Sound1 입력 음압 대비 ADC 출력'!C83</x:f>
        <x:v>37028</x:v>
      </x:c>
      <x:c r="G85" s="239" t="n">
        <x:f>E85-F85</x:f>
        <x:v>0</x:v>
      </x:c>
      <x:c r="H85" s="244" t="str">
        <x:f>IF(C85&lt;=$H$4,"사양 범위","110 dBSPL 초과")</x:f>
        <x:v>110 dBSPL 초과</x:v>
      </x:c>
    </x:row>
    <x:row r="86" ht="20" customHeight="1">
      <x:c r="B86" s="224" t="n">
        <x:f>'Sound1 입력 음압 대비 ADC 출력'!B84</x:f>
        <x:v>104</x:v>
      </x:c>
      <x:c r="C86" s="225" t="n">
        <x:f>B86-$C$4</x:f>
        <x:v>112.293</x:v>
      </x:c>
      <x:c r="D86" s="225" t="n">
        <x:f>ROUND(C86+$E$4,3)</x:f>
        <x:v>104</x:v>
      </x:c>
      <x:c r="E86" s="226" t="n">
        <x:f>INT(262143*10^((ROUND(D86,3)-120)/20))</x:f>
        <x:v>41546</x:v>
      </x:c>
      <x:c r="F86" s="226" t="n">
        <x:f>'Sound1 입력 음압 대비 ADC 출력'!C84</x:f>
        <x:v>41547</x:v>
      </x:c>
      <x:c r="G86" s="239" t="n">
        <x:f>E86-F86</x:f>
        <x:v>-1</x:v>
      </x:c>
      <x:c r="H86" s="244" t="str">
        <x:f>IF(C86&lt;=$H$4,"사양 범위","110 dBSPL 초과")</x:f>
        <x:v>110 dBSPL 초과</x:v>
      </x:c>
    </x:row>
    <x:row r="87" ht="20" customHeight="1">
      <x:c r="B87" s="224" t="n">
        <x:f>'Sound1 입력 음압 대비 ADC 출력'!B85</x:f>
        <x:v>105</x:v>
      </x:c>
      <x:c r="C87" s="225" t="n">
        <x:f>B87-$C$4</x:f>
        <x:v>113.293</x:v>
      </x:c>
      <x:c r="D87" s="225" t="n">
        <x:f>ROUND(C87+$E$4,3)</x:f>
        <x:v>105</x:v>
      </x:c>
      <x:c r="E87" s="226" t="n">
        <x:f>INT(262143*10^((ROUND(D87,3)-120)/20))</x:f>
        <x:v>46616</x:v>
      </x:c>
      <x:c r="F87" s="226" t="n">
        <x:f>'Sound1 입력 음압 대비 ADC 출력'!C85</x:f>
        <x:v>46616</x:v>
      </x:c>
      <x:c r="G87" s="239" t="n">
        <x:f>E87-F87</x:f>
        <x:v>0</x:v>
      </x:c>
      <x:c r="H87" s="244" t="str">
        <x:f>IF(C87&lt;=$H$4,"사양 범위","110 dBSPL 초과")</x:f>
        <x:v>110 dBSPL 초과</x:v>
      </x:c>
    </x:row>
    <x:row r="88" ht="20" customHeight="1">
      <x:c r="B88" s="224" t="n">
        <x:f>'Sound1 입력 음압 대비 ADC 출력'!B86</x:f>
        <x:v>106</x:v>
      </x:c>
      <x:c r="C88" s="225" t="n">
        <x:f>B88-$C$4</x:f>
        <x:v>114.293</x:v>
      </x:c>
      <x:c r="D88" s="225" t="n">
        <x:f>ROUND(C88+$E$4,3)</x:f>
        <x:v>106</x:v>
      </x:c>
      <x:c r="E88" s="226" t="n">
        <x:f>INT(262143*10^((ROUND(D88,3)-120)/20))</x:f>
        <x:v>52304</x:v>
      </x:c>
      <x:c r="F88" s="226" t="n">
        <x:f>'Sound1 입력 음압 대비 ADC 출력'!C86</x:f>
        <x:v>52304</x:v>
      </x:c>
      <x:c r="G88" s="239" t="n">
        <x:f>E88-F88</x:f>
        <x:v>0</x:v>
      </x:c>
      <x:c r="H88" s="244" t="str">
        <x:f>IF(C88&lt;=$H$4,"사양 범위","110 dBSPL 초과")</x:f>
        <x:v>110 dBSPL 초과</x:v>
      </x:c>
    </x:row>
    <x:row r="89" ht="20" customHeight="1">
      <x:c r="B89" s="224" t="n">
        <x:f>'Sound1 입력 음압 대비 ADC 출력'!B87</x:f>
        <x:v>107</x:v>
      </x:c>
      <x:c r="C89" s="225" t="n">
        <x:f>B89-$C$4</x:f>
        <x:v>115.293</x:v>
      </x:c>
      <x:c r="D89" s="225" t="n">
        <x:f>ROUND(C89+$E$4,3)</x:f>
        <x:v>107</x:v>
      </x:c>
      <x:c r="E89" s="226" t="n">
        <x:f>INT(262143*10^((ROUND(D89,3)-120)/20))</x:f>
        <x:v>58686</x:v>
      </x:c>
      <x:c r="F89" s="226" t="n">
        <x:f>'Sound1 입력 음압 대비 ADC 출력'!C87</x:f>
        <x:v>58686</x:v>
      </x:c>
      <x:c r="G89" s="239" t="n">
        <x:f>E89-F89</x:f>
        <x:v>0</x:v>
      </x:c>
      <x:c r="H89" s="244" t="str">
        <x:f>IF(C89&lt;=$H$4,"사양 범위","110 dBSPL 초과")</x:f>
        <x:v>110 dBSPL 초과</x:v>
      </x:c>
    </x:row>
    <x:row r="90" ht="20" customHeight="1">
      <x:c r="B90" s="224" t="n">
        <x:f>'Sound1 입력 음압 대비 ADC 출력'!B88</x:f>
        <x:v>108</x:v>
      </x:c>
      <x:c r="C90" s="225" t="n">
        <x:f>B90-$C$4</x:f>
        <x:v>116.293</x:v>
      </x:c>
      <x:c r="D90" s="225" t="n">
        <x:f>ROUND(C90+$E$4,3)</x:f>
        <x:v>108</x:v>
      </x:c>
      <x:c r="E90" s="226" t="n">
        <x:f>INT(262143*10^((ROUND(D90,3)-120)/20))</x:f>
        <x:v>65847</x:v>
      </x:c>
      <x:c r="F90" s="226" t="n">
        <x:f>'Sound1 입력 음압 대비 ADC 출력'!C88</x:f>
        <x:v>65847</x:v>
      </x:c>
      <x:c r="G90" s="239" t="n">
        <x:f>E90-F90</x:f>
        <x:v>0</x:v>
      </x:c>
      <x:c r="H90" s="244" t="str">
        <x:f>IF(C90&lt;=$H$4,"사양 범위","110 dBSPL 초과")</x:f>
        <x:v>110 dBSPL 초과</x:v>
      </x:c>
    </x:row>
    <x:row r="91" ht="20" customHeight="1">
      <x:c r="B91" s="224" t="n">
        <x:f>'Sound1 입력 음압 대비 ADC 출력'!B89</x:f>
        <x:v>109</x:v>
      </x:c>
      <x:c r="C91" s="225" t="n">
        <x:f>B91-$C$4</x:f>
        <x:v>117.293</x:v>
      </x:c>
      <x:c r="D91" s="225" t="n">
        <x:f>ROUND(C91+$E$4,3)</x:f>
        <x:v>109</x:v>
      </x:c>
      <x:c r="E91" s="226" t="n">
        <x:f>INT(262143*10^((ROUND(D91,3)-120)/20))</x:f>
        <x:v>73881</x:v>
      </x:c>
      <x:c r="F91" s="226" t="n">
        <x:f>'Sound1 입력 음압 대비 ADC 출력'!C89</x:f>
        <x:v>73882</x:v>
      </x:c>
      <x:c r="G91" s="239" t="n">
        <x:f>E91-F91</x:f>
        <x:v>-1</x:v>
      </x:c>
      <x:c r="H91" s="244" t="str">
        <x:f>IF(C91&lt;=$H$4,"사양 범위","110 dBSPL 초과")</x:f>
        <x:v>110 dBSPL 초과</x:v>
      </x:c>
    </x:row>
    <x:row r="92" ht="20" customHeight="1">
      <x:c r="B92" s="224" t="n">
        <x:f>'Sound1 입력 음압 대비 ADC 출력'!B90</x:f>
        <x:v>110</x:v>
      </x:c>
      <x:c r="C92" s="225" t="n">
        <x:f>B92-$C$4</x:f>
        <x:v>118.293</x:v>
      </x:c>
      <x:c r="D92" s="225" t="n">
        <x:f>ROUND(C92+$E$4,3)</x:f>
        <x:v>110</x:v>
      </x:c>
      <x:c r="E92" s="226" t="n">
        <x:f>INT(262143*10^((ROUND(D92,3)-120)/20))</x:f>
        <x:v>82896</x:v>
      </x:c>
      <x:c r="F92" s="226" t="n">
        <x:f>'Sound1 입력 음압 대비 ADC 출력'!C90</x:f>
        <x:v>82897</x:v>
      </x:c>
      <x:c r="G92" s="239" t="n">
        <x:f>E92-F92</x:f>
        <x:v>-1</x:v>
      </x:c>
      <x:c r="H92" s="244" t="str">
        <x:f>IF(C92&lt;=$H$4,"사양 범위","110 dBSPL 초과")</x:f>
        <x:v>110 dBSPL 초과</x:v>
      </x:c>
    </x:row>
    <x:row r="93" ht="20" customHeight="1">
      <x:c r="B93" s="224" t="n">
        <x:f>'Sound1 입력 음압 대비 ADC 출력'!B91</x:f>
        <x:v>111</x:v>
      </x:c>
      <x:c r="C93" s="225" t="n">
        <x:f>B93-$C$4</x:f>
        <x:v>119.293</x:v>
      </x:c>
      <x:c r="D93" s="225" t="n">
        <x:f>ROUND(C93+$E$4,3)</x:f>
        <x:v>111</x:v>
      </x:c>
      <x:c r="E93" s="226" t="n">
        <x:f>INT(262143*10^((ROUND(D93,3)-120)/20))</x:f>
        <x:v>93011</x:v>
      </x:c>
      <x:c r="F93" s="226" t="n">
        <x:f>'Sound1 입력 음압 대비 ADC 출력'!C91</x:f>
        <x:v>93012</x:v>
      </x:c>
      <x:c r="G93" s="239" t="n">
        <x:f>E93-F93</x:f>
        <x:v>-1</x:v>
      </x:c>
      <x:c r="H93" s="244" t="str">
        <x:f>IF(C93&lt;=$H$4,"사양 범위","110 dBSPL 초과")</x:f>
        <x:v>110 dBSPL 초과</x:v>
      </x:c>
    </x:row>
    <x:row r="94" ht="20" customHeight="1">
      <x:c r="B94" s="224" t="n">
        <x:f>'Sound1 입력 음압 대비 ADC 출력'!B92</x:f>
        <x:v>112</x:v>
      </x:c>
      <x:c r="C94" s="225" t="n">
        <x:f>B94-$C$4</x:f>
        <x:v>120.293</x:v>
      </x:c>
      <x:c r="D94" s="225" t="n">
        <x:f>ROUND(C94+$E$4,3)</x:f>
        <x:v>112</x:v>
      </x:c>
      <x:c r="E94" s="226" t="n">
        <x:f>INT(262143*10^((ROUND(D94,3)-120)/20))</x:f>
        <x:v>104361</x:v>
      </x:c>
      <x:c r="F94" s="226" t="n">
        <x:f>'Sound1 입력 음압 대비 ADC 출력'!C92</x:f>
        <x:v>104361</x:v>
      </x:c>
      <x:c r="G94" s="239" t="n">
        <x:f>E94-F94</x:f>
        <x:v>0</x:v>
      </x:c>
      <x:c r="H94" s="244" t="str">
        <x:f>IF(C94&lt;=$H$4,"사양 범위","110 dBSPL 초과")</x:f>
        <x:v>110 dBSPL 초과</x:v>
      </x:c>
    </x:row>
    <x:row r="95" ht="20" customHeight="1">
      <x:c r="B95" s="224" t="n">
        <x:f>'Sound1 입력 음압 대비 ADC 출력'!B93</x:f>
        <x:v>113</x:v>
      </x:c>
      <x:c r="C95" s="225" t="n">
        <x:f>B95-$C$4</x:f>
        <x:v>121.293</x:v>
      </x:c>
      <x:c r="D95" s="225" t="n">
        <x:f>ROUND(C95+$E$4,3)</x:f>
        <x:v>113</x:v>
      </x:c>
      <x:c r="E95" s="226" t="n">
        <x:f>INT(262143*10^((ROUND(D95,3)-120)/20))</x:f>
        <x:v>117094</x:v>
      </x:c>
      <x:c r="F95" s="226" t="n">
        <x:f>'Sound1 입력 음압 대비 ADC 출력'!C93</x:f>
        <x:v>117095</x:v>
      </x:c>
      <x:c r="G95" s="239" t="n">
        <x:f>E95-F95</x:f>
        <x:v>-1</x:v>
      </x:c>
      <x:c r="H95" s="244" t="str">
        <x:f>IF(C95&lt;=$H$4,"사양 범위","110 dBSPL 초과")</x:f>
        <x:v>110 dBSPL 초과</x:v>
      </x:c>
    </x:row>
    <x:row r="96" ht="20" customHeight="1">
      <x:c r="B96" s="224" t="n">
        <x:f>'Sound1 입력 음압 대비 ADC 출력'!B94</x:f>
        <x:v>114</x:v>
      </x:c>
      <x:c r="C96" s="225" t="n">
        <x:f>B96-$C$4</x:f>
        <x:v>122.293</x:v>
      </x:c>
      <x:c r="D96" s="225" t="n">
        <x:f>ROUND(C96+$E$4,3)</x:f>
        <x:v>114</x:v>
      </x:c>
      <x:c r="E96" s="226" t="n">
        <x:f>INT(262143*10^((ROUND(D96,3)-120)/20))</x:f>
        <x:v>131382</x:v>
      </x:c>
      <x:c r="F96" s="226" t="n">
        <x:f>'Sound1 입력 음압 대비 ADC 출력'!C94</x:f>
        <x:v>131383</x:v>
      </x:c>
      <x:c r="G96" s="239" t="n">
        <x:f>E96-F96</x:f>
        <x:v>-1</x:v>
      </x:c>
      <x:c r="H96" s="244" t="str">
        <x:f>IF(C96&lt;=$H$4,"사양 범위","110 dBSPL 초과")</x:f>
        <x:v>110 dBSPL 초과</x:v>
      </x:c>
    </x:row>
    <x:row r="97" ht="20" customHeight="1">
      <x:c r="B97" s="224" t="n">
        <x:f>'Sound1 입력 음압 대비 ADC 출력'!B95</x:f>
        <x:v>115</x:v>
      </x:c>
      <x:c r="C97" s="225" t="n">
        <x:f>B97-$C$4</x:f>
        <x:v>123.293</x:v>
      </x:c>
      <x:c r="D97" s="225" t="n">
        <x:f>ROUND(C97+$E$4,3)</x:f>
        <x:v>115</x:v>
      </x:c>
      <x:c r="E97" s="226" t="n">
        <x:f>INT(262143*10^((ROUND(D97,3)-120)/20))</x:f>
        <x:v>147413</x:v>
      </x:c>
      <x:c r="F97" s="226" t="n">
        <x:f>'Sound1 입력 음압 대비 ADC 출력'!C95</x:f>
        <x:v>147414</x:v>
      </x:c>
      <x:c r="G97" s="239" t="n">
        <x:f>E97-F97</x:f>
        <x:v>-1</x:v>
      </x:c>
      <x:c r="H97" s="244" t="str">
        <x:f>IF(C97&lt;=$H$4,"사양 범위","110 dBSPL 초과")</x:f>
        <x:v>110 dBSPL 초과</x:v>
      </x:c>
    </x:row>
    <x:row r="98" ht="20" customHeight="1">
      <x:c r="B98" s="224" t="n">
        <x:f>'Sound1 입력 음압 대비 ADC 출력'!B96</x:f>
        <x:v>116</x:v>
      </x:c>
      <x:c r="C98" s="225" t="n">
        <x:f>B98-$C$4</x:f>
        <x:v>124.293</x:v>
      </x:c>
      <x:c r="D98" s="225" t="n">
        <x:f>ROUND(C98+$E$4,3)</x:f>
        <x:v>116</x:v>
      </x:c>
      <x:c r="E98" s="226" t="n">
        <x:f>INT(262143*10^((ROUND(D98,3)-120)/20))</x:f>
        <x:v>165401</x:v>
      </x:c>
      <x:c r="F98" s="226" t="n">
        <x:f>'Sound1 입력 음압 대비 ADC 출력'!C96</x:f>
        <x:v>165401</x:v>
      </x:c>
      <x:c r="G98" s="239" t="n">
        <x:f>E98-F98</x:f>
        <x:v>0</x:v>
      </x:c>
      <x:c r="H98" s="244" t="str">
        <x:f>IF(C98&lt;=$H$4,"사양 범위","110 dBSPL 초과")</x:f>
        <x:v>110 dBSPL 초과</x:v>
      </x:c>
    </x:row>
    <x:row r="99" ht="20" customHeight="1">
      <x:c r="B99" s="224" t="n">
        <x:f>'Sound1 입력 음압 대비 ADC 출력'!B97</x:f>
        <x:v>117</x:v>
      </x:c>
      <x:c r="C99" s="225" t="n">
        <x:f>B99-$C$4</x:f>
        <x:v>125.293</x:v>
      </x:c>
      <x:c r="D99" s="225" t="n">
        <x:f>ROUND(C99+$E$4,3)</x:f>
        <x:v>117</x:v>
      </x:c>
      <x:c r="E99" s="226" t="n">
        <x:f>INT(262143*10^((ROUND(D99,3)-120)/20))</x:f>
        <x:v>185583</x:v>
      </x:c>
      <x:c r="F99" s="226" t="n">
        <x:f>'Sound1 입력 음압 대비 ADC 출력'!C97</x:f>
        <x:v>185583</x:v>
      </x:c>
      <x:c r="G99" s="239" t="n">
        <x:f>E99-F99</x:f>
        <x:v>0</x:v>
      </x:c>
      <x:c r="H99" s="244" t="str">
        <x:f>IF(C99&lt;=$H$4,"사양 범위","110 dBSPL 초과")</x:f>
        <x:v>110 dBSPL 초과</x:v>
      </x:c>
    </x:row>
    <x:row r="100" ht="20" customHeight="1">
      <x:c r="B100" s="224" t="n">
        <x:f>'Sound1 입력 음압 대비 ADC 출력'!B98</x:f>
        <x:v>118</x:v>
      </x:c>
      <x:c r="C100" s="225" t="n">
        <x:f>B100-$C$4</x:f>
        <x:v>126.293</x:v>
      </x:c>
      <x:c r="D100" s="225" t="n">
        <x:f>ROUND(C100+$E$4,3)</x:f>
        <x:v>118</x:v>
      </x:c>
      <x:c r="E100" s="226" t="n">
        <x:f>INT(262143*10^((ROUND(D100,3)-120)/20))</x:f>
        <x:v>208227</x:v>
      </x:c>
      <x:c r="F100" s="226" t="n">
        <x:f>'Sound1 입력 음압 대비 ADC 출력'!C98</x:f>
        <x:v>208228</x:v>
      </x:c>
      <x:c r="G100" s="239" t="n">
        <x:f>E100-F100</x:f>
        <x:v>-1</x:v>
      </x:c>
      <x:c r="H100" s="244" t="str">
        <x:f>IF(C100&lt;=$H$4,"사양 범위","110 dBSPL 초과")</x:f>
        <x:v>110 dBSPL 초과</x:v>
      </x:c>
    </x:row>
    <x:row r="101" ht="20" customHeight="1">
      <x:c r="B101" s="224" t="n">
        <x:f>'Sound1 입력 음압 대비 ADC 출력'!B99</x:f>
        <x:v>119</x:v>
      </x:c>
      <x:c r="C101" s="225" t="n">
        <x:f>B101-$C$4</x:f>
        <x:v>127.293</x:v>
      </x:c>
      <x:c r="D101" s="225" t="n">
        <x:f>ROUND(C101+$E$4,3)</x:f>
        <x:v>119</x:v>
      </x:c>
      <x:c r="E101" s="226" t="n">
        <x:f>INT(262143*10^((ROUND(D101,3)-120)/20))</x:f>
        <x:v>233635</x:v>
      </x:c>
      <x:c r="F101" s="226" t="n">
        <x:f>'Sound1 입력 음압 대비 ADC 출력'!C99</x:f>
        <x:v>233636</x:v>
      </x:c>
      <x:c r="G101" s="239" t="n">
        <x:f>E101-F101</x:f>
        <x:v>-1</x:v>
      </x:c>
      <x:c r="H101" s="244" t="str">
        <x:f>IF(C101&lt;=$H$4,"사양 범위","110 dBSPL 초과")</x:f>
        <x:v>110 dBSPL 초과</x:v>
      </x:c>
    </x:row>
    <x:row r="102" ht="20" customHeight="1">
      <x:c r="B102" s="232" t="n">
        <x:f>'Sound1 입력 음압 대비 ADC 출력'!B100</x:f>
        <x:v>120</x:v>
      </x:c>
      <x:c r="C102" s="233" t="n">
        <x:f>B102-$C$4</x:f>
        <x:v>128.293</x:v>
      </x:c>
      <x:c r="D102" s="233" t="n">
        <x:f>ROUND(C102+$E$4,3)</x:f>
        <x:v>120</x:v>
      </x:c>
      <x:c r="E102" s="234" t="n">
        <x:f>INT(262143*10^((ROUND(D102,3)-120)/20))</x:f>
        <x:v>262143</x:v>
      </x:c>
      <x:c r="F102" s="234" t="n">
        <x:f>'Sound1 입력 음압 대비 ADC 출력'!C100</x:f>
        <x:v>262143</x:v>
      </x:c>
      <x:c r="G102" s="240" t="n">
        <x:f>E102-F102</x:f>
        <x:v>0</x:v>
      </x:c>
      <x:c r="H102" s="245" t="str">
        <x:f>IF(C102&lt;=$H$4,"사양 범위","110 dBSPL 초과")</x:f>
        <x:v>110 dBSPL 초과</x:v>
      </x:c>
    </x:row>
  </x:sheetData>
  <x:mergeCells>
    <x:mergeCell ref="B2:H2"/>
    <x:mergeCell ref="F4:G4"/>
    <x:mergeCell ref="D5:H5"/>
    <x:mergeCell ref="B7:H7"/>
    <x:mergeCell ref="B8:H8"/>
  </x:mergeCells>
  <x:pageMargins left="0.7" right="0.7" top="0.75" bottom="0.75" header="0.3" footer="0.3"/>
</x:worksheet>
</file>