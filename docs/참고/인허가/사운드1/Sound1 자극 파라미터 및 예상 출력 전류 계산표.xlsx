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128ff3b6942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e103472cbc24414c"/>
    <x:sheet xmlns:r="http://schemas.openxmlformats.org/officeDocument/2006/relationships" name="필수성능 ID-6" sheetId="2" r:id="R3803986db9a847e2"/>
    <x:sheet xmlns:r="http://schemas.openxmlformats.org/officeDocument/2006/relationships" name="기본 맵 및 CM3" sheetId="3" r:id="Rfb2019d4b8a848cd"/>
    <x:sheet xmlns:r="http://schemas.openxmlformats.org/officeDocument/2006/relationships" name="PCM-전류 LUT" sheetId="4" r:id="R09a7a8dbc46844a4"/>
    <x:sheet xmlns:r="http://schemas.openxmlformats.org/officeDocument/2006/relationships" name="상수 및 근거" sheetId="5" r:id="Ra6a5646dea7547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0000"/>
    <x:numFmt numFmtId="202" formatCode="0.00"/>
    <x:numFmt numFmtId="203" formatCode="0"/>
  </x:numFmts>
  <x:fonts count="10">
    <x:font>
      <x:sz val="11"/>
      <x:name val="Carlito"/>
    </x:font>
    <x:font>
      <x:b/>
      <x:sz val="17"/>
      <x:color rgb="FFFFFFFF"/>
      <x:name val="맑은 고딕"/>
    </x:font>
    <x:font>
      <x:i/>
      <x:sz val="9"/>
      <x:color rgb="FF666666"/>
      <x:name val="맑은 고딕"/>
    </x:font>
    <x:font>
      <x:b/>
      <x:sz val="11"/>
      <x:color rgb="FFFFFFFF"/>
      <x:name val="맑은 고딕"/>
    </x:font>
    <x:font>
      <x:b/>
      <x:sz val="9"/>
      <x:color rgb="FFFFFFFF"/>
      <x:name val="맑은 고딕"/>
    </x:font>
    <x:font>
      <x:sz val="9"/>
      <x:color rgb="FF1F1F1F"/>
      <x:name val="맑은 고딕"/>
    </x:font>
    <x:font>
      <x:b/>
      <x:sz val="9"/>
      <x:color rgb="FF1F1F1F"/>
      <x:name val="맑은 고딕"/>
    </x:font>
    <x:font>
      <x:i/>
      <x:sz val="9"/>
      <x:name val="맑은 고딕"/>
    </x:font>
    <x:font>
      <x:b/>
      <x:sz val="10"/>
      <x:color rgb="FF1F1F1F"/>
      <x:name val="맑은 고딕"/>
    </x:font>
    <x:font>
      <x:b/>
      <x:sz val="9"/>
      <x:name val="맑은 고딕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EF5FA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15">
    <x:border/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</x:borders>
  <x:cellStyleXfs count="1">
    <x:xf numFmtId="0" fontId="0" fillId="0" borderId="0"/>
  </x:cellStyleXfs>
  <x:cellXfs count="1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horizontal="center" wrapText="1"/>
    </x:xf>
    <x:xf numFmtId="0" fontId="5" fillId="0" borderId="5" xfId="0" applyNumberFormat="1" applyFont="1" applyFill="1" applyBorder="1" applyAlignment="1">
      <x:alignment horizontal="center" wrapText="1"/>
    </x:xf>
    <x:xf numFmtId="0" fontId="5" fillId="0" borderId="6" xfId="0" applyNumberFormat="1" applyFont="1" applyFill="1" applyBorder="1" applyAlignment="1">
      <x:alignment horizontal="center" wrapText="1"/>
    </x:xf>
    <x:xf numFmtId="0" fontId="5" fillId="0" borderId="7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8" xfId="0" applyNumberFormat="1" applyFont="1" applyFill="1" applyBorder="1" applyAlignment="1">
      <x:alignment horizontal="center" wrapText="1"/>
    </x:xf>
    <x:xf numFmtId="0" fontId="5" fillId="0" borderId="9" xfId="0" applyNumberFormat="1" applyFont="1" applyFill="1" applyBorder="1" applyAlignment="1">
      <x:alignment horizontal="center" wrapText="1"/>
    </x:xf>
    <x:xf numFmtId="0" fontId="5" fillId="0" borderId="10" xfId="0" applyNumberFormat="1" applyFont="1" applyFill="1" applyBorder="1" applyAlignment="1">
      <x:alignment horizontal="center" wrapText="1"/>
    </x:xf>
    <x:xf numFmtId="0" fontId="5" fillId="0" borderId="11" xfId="0" applyNumberFormat="1" applyFont="1" applyFill="1" applyBorder="1" applyAlignment="1">
      <x:alignment horizont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0" fontId="5" fillId="0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horizontal="center" vertical="center" wrapText="1"/>
    </x:xf>
    <x:xf numFmtId="0" fontId="5" fillId="0" borderId="9" xfId="0" applyNumberFormat="1" applyFont="1" applyFill="1" applyBorder="1" applyAlignment="1">
      <x:alignment horizontal="center" vertical="center" wrapText="1"/>
    </x:xf>
    <x:xf numFmtId="0" fontId="5" fillId="0" borderId="10" xfId="0" applyNumberFormat="1" applyFont="1" applyFill="1" applyBorder="1" applyAlignment="1">
      <x:alignment horizontal="center" vertical="center" wrapText="1"/>
    </x:xf>
    <x:xf numFmtId="0" fontId="5" fillId="0" borderId="11" xfId="0" applyNumberFormat="1" applyFont="1" applyFill="1" applyBorder="1" applyAlignment="1">
      <x:alignment horizontal="center" vertical="center" wrapText="1"/>
    </x:xf>
    <x:xf numFmtId="200" fontId="5" fillId="0" borderId="5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 applyAlignment="1">
      <x:alignment horizontal="center" vertical="center" wrapText="1"/>
    </x:xf>
    <x:xf numFmtId="200" fontId="5" fillId="0" borderId="10" xfId="0" applyNumberFormat="1" applyFont="1" applyFill="1" applyBorder="1" applyAlignment="1">
      <x:alignment horizontal="center" vertical="center" wrapText="1"/>
    </x:xf>
    <x:xf numFmtId="200" fontId="5" fillId="0" borderId="6" xfId="0" applyNumberFormat="1" applyFont="1" applyFill="1" applyBorder="1" applyAlignment="1">
      <x:alignment horizontal="center" vertical="center" wrapText="1"/>
    </x:xf>
    <x:xf numFmtId="200" fontId="5" fillId="0" borderId="8" xfId="0" applyNumberFormat="1" applyFont="1" applyFill="1" applyBorder="1" applyAlignment="1">
      <x:alignment horizontal="center" vertical="center" wrapText="1"/>
    </x:xf>
    <x:xf numFmtId="200" fontId="5" fillId="0" borderId="11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horizontal="left" wrapText="1"/>
    </x:xf>
    <x:xf numFmtId="0" fontId="5" fillId="0" borderId="5" xfId="0" applyNumberFormat="1" applyFont="1" applyFill="1" applyBorder="1" applyAlignment="1">
      <x:alignment horizontal="left" wrapText="1"/>
    </x:xf>
    <x:xf numFmtId="0" fontId="5" fillId="0" borderId="6" xfId="0" applyNumberFormat="1" applyFont="1" applyFill="1" applyBorder="1" applyAlignment="1">
      <x:alignment horizontal="left" wrapText="1"/>
    </x:xf>
    <x:xf numFmtId="0" fontId="5" fillId="0" borderId="7" xfId="0" applyNumberFormat="1" applyFont="1" applyFill="1" applyBorder="1" applyAlignment="1">
      <x:alignment horizontal="left" wrapText="1"/>
    </x:xf>
    <x:xf numFmtId="0" fontId="5" fillId="0" borderId="0" xfId="0" applyNumberFormat="1" applyFont="1" applyFill="1" applyBorder="1" applyAlignment="1">
      <x:alignment horizontal="left" wrapText="1"/>
    </x:xf>
    <x:xf numFmtId="0" fontId="5" fillId="0" borderId="8" xfId="0" applyNumberFormat="1" applyFont="1" applyFill="1" applyBorder="1" applyAlignment="1">
      <x:alignment horizontal="left" wrapText="1"/>
    </x:xf>
    <x:xf numFmtId="0" fontId="5" fillId="0" borderId="9" xfId="0" applyNumberFormat="1" applyFont="1" applyFill="1" applyBorder="1" applyAlignment="1">
      <x:alignment horizontal="left" wrapText="1"/>
    </x:xf>
    <x:xf numFmtId="0" fontId="5" fillId="0" borderId="10" xfId="0" applyNumberFormat="1" applyFont="1" applyFill="1" applyBorder="1" applyAlignment="1">
      <x:alignment horizontal="left" wrapText="1"/>
    </x:xf>
    <x:xf numFmtId="0" fontId="5" fillId="0" borderId="11" xfId="0" applyNumberFormat="1" applyFont="1" applyFill="1" applyBorder="1" applyAlignment="1">
      <x:alignment horizontal="left" wrapText="1"/>
    </x:xf>
    <x:xf numFmtId="0" fontId="5" fillId="0" borderId="4" xfId="0" applyNumberFormat="1" applyFont="1" applyFill="1" applyBorder="1" applyAlignment="1">
      <x:alignment horizontal="left" vertical="center" wrapText="1"/>
    </x:xf>
    <x:xf numFmtId="0" fontId="5" fillId="0" borderId="5" xfId="0" applyNumberFormat="1" applyFont="1" applyFill="1" applyBorder="1" applyAlignment="1">
      <x:alignment horizontal="left" vertical="center" wrapText="1"/>
    </x:xf>
    <x:xf numFmtId="0" fontId="5" fillId="0" borderId="6" xfId="0" applyNumberFormat="1" applyFont="1" applyFill="1" applyBorder="1" applyAlignment="1">
      <x:alignment horizontal="left" vertical="center" wrapText="1"/>
    </x:xf>
    <x:xf numFmtId="0" fontId="5" fillId="0" borderId="7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5" fillId="0" borderId="8" xfId="0" applyNumberFormat="1" applyFont="1" applyFill="1" applyBorder="1" applyAlignment="1">
      <x:alignment horizontal="left" vertical="center" wrapText="1"/>
    </x:xf>
    <x:xf numFmtId="0" fontId="5" fillId="0" borderId="9" xfId="0" applyNumberFormat="1" applyFont="1" applyFill="1" applyBorder="1" applyAlignment="1">
      <x:alignment horizontal="left" vertical="center" wrapText="1"/>
    </x:xf>
    <x:xf numFmtId="0" fontId="5" fillId="0" borderId="10" xfId="0" applyNumberFormat="1" applyFont="1" applyFill="1" applyBorder="1" applyAlignment="1">
      <x:alignment horizontal="left" vertical="center" wrapText="1"/>
    </x:xf>
    <x:xf numFmtId="0" fontId="5" fillId="0" borderId="11" xfId="0" applyNumberFormat="1" applyFont="1" applyFill="1" applyBorder="1" applyAlignment="1">
      <x:alignment horizontal="left" vertical="center" wrapText="1"/>
    </x:xf>
    <x:xf numFmtId="0" fontId="6" fillId="0" borderId="4" xfId="0" applyNumberFormat="1" applyFont="1" applyFill="1" applyBorder="1" applyAlignment="1">
      <x:alignment horizontal="left" vertical="center" wrapText="1"/>
    </x:xf>
    <x:xf numFmtId="0" fontId="6" fillId="0" borderId="7" xfId="0" applyNumberFormat="1" applyFont="1" applyFill="1" applyBorder="1" applyAlignment="1">
      <x:alignment horizontal="left" vertical="center" wrapText="1"/>
    </x:xf>
    <x:xf numFmtId="0" fontId="6" fillId="0" borderId="9" xfId="0" applyNumberFormat="1" applyFont="1" applyFill="1" applyBorder="1" applyAlignment="1">
      <x:alignment horizontal="left" vertical="center" wrapText="1"/>
    </x:xf>
    <x:xf numFmtId="201" fontId="5" fillId="0" borderId="4" xfId="0" applyNumberFormat="1" applyFont="1" applyFill="1" applyBorder="1" applyAlignment="1">
      <x:alignment horizontal="center" vertical="center" wrapText="1"/>
    </x:xf>
    <x:xf numFmtId="201" fontId="5" fillId="0" borderId="6" xfId="0" applyNumberFormat="1" applyFont="1" applyFill="1" applyBorder="1" applyAlignment="1">
      <x:alignment horizontal="center" vertical="center" wrapText="1"/>
    </x:xf>
    <x:xf numFmtId="201" fontId="5" fillId="0" borderId="7" xfId="0" applyNumberFormat="1" applyFont="1" applyFill="1" applyBorder="1" applyAlignment="1">
      <x:alignment horizontal="center" vertical="center" wrapText="1"/>
    </x:xf>
    <x:xf numFmtId="201" fontId="5" fillId="0" borderId="8" xfId="0" applyNumberFormat="1" applyFont="1" applyFill="1" applyBorder="1" applyAlignment="1">
      <x:alignment horizontal="center" vertical="center" wrapText="1"/>
    </x:xf>
    <x:xf numFmtId="201" fontId="5" fillId="0" borderId="9" xfId="0" applyNumberFormat="1" applyFont="1" applyFill="1" applyBorder="1" applyAlignment="1">
      <x:alignment horizontal="center" vertical="center" wrapText="1"/>
    </x:xf>
    <x:xf numFmtId="201" fontId="5" fillId="0" borderId="11" xfId="0" applyNumberFormat="1" applyFont="1" applyFill="1" applyBorder="1" applyAlignment="1">
      <x:alignment horizontal="center" vertical="center" wrapText="1"/>
    </x:xf>
    <x:xf numFmtId="202" fontId="5" fillId="0" borderId="5" xfId="0" applyNumberFormat="1" applyFont="1" applyFill="1" applyBorder="1" applyAlignment="1">
      <x:alignment horizontal="center" vertical="center" wrapText="1"/>
    </x:xf>
    <x:xf numFmtId="202" fontId="5" fillId="0" borderId="0" xfId="0" applyNumberFormat="1" applyFont="1" applyFill="1" applyBorder="1" applyAlignment="1">
      <x:alignment horizontal="center" vertical="center" wrapText="1"/>
    </x:xf>
    <x:xf numFmtId="202" fontId="5" fillId="0" borderId="1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5" fillId="5" borderId="9" xfId="0" applyNumberFormat="1" applyFont="1" applyFill="1" applyBorder="1" applyAlignment="1">
      <x:alignment horizontal="center" vertical="center" wrapText="1"/>
    </x:xf>
    <x:xf numFmtId="0" fontId="5" fillId="5" borderId="10" xfId="0" applyNumberFormat="1" applyFont="1" applyFill="1" applyBorder="1" applyAlignment="1">
      <x:alignment horizontal="center"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left" vertical="center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5" fillId="6" borderId="10" xfId="0" applyNumberFormat="1" applyFont="1" applyFill="1" applyBorder="1" applyAlignment="1">
      <x:alignment horizontal="left" vertical="center" wrapText="1"/>
    </x:xf>
    <x:xf numFmtId="0" fontId="8" fillId="6" borderId="5" xfId="0" applyNumberFormat="1" applyFont="1" applyFill="1" applyBorder="1" applyAlignment="1">
      <x:alignment horizontal="left" vertical="center" wrapText="1"/>
    </x:xf>
    <x:xf numFmtId="0" fontId="8" fillId="6" borderId="0" xfId="0" applyNumberFormat="1" applyFont="1" applyFill="1" applyBorder="1" applyAlignment="1">
      <x:alignment horizontal="left" vertical="center" wrapText="1"/>
    </x:xf>
    <x:xf numFmtId="0" fontId="8" fillId="6" borderId="10" xfId="0" applyNumberFormat="1" applyFont="1" applyFill="1" applyBorder="1" applyAlignment="1">
      <x:alignment horizontal="left" vertical="center" wrapText="1"/>
    </x:xf>
    <x:xf numFmtId="0" fontId="8" fillId="6" borderId="12" xfId="0" applyNumberFormat="1" applyFont="1" applyFill="1" applyBorder="1" applyAlignment="1">
      <x:alignment horizontal="left" vertical="center" wrapText="1"/>
    </x:xf>
    <x:xf numFmtId="0" fontId="8" fillId="6" borderId="13" xfId="0" applyNumberFormat="1" applyFont="1" applyFill="1" applyBorder="1" applyAlignment="1">
      <x:alignment horizontal="left" vertical="center" wrapText="1"/>
    </x:xf>
    <x:xf numFmtId="0" fontId="8" fillId="6" borderId="14" xfId="0" applyNumberFormat="1" applyFont="1" applyFill="1" applyBorder="1" applyAlignment="1">
      <x:alignment horizontal="left" vertical="center" wrapText="1"/>
    </x:xf>
    <x:xf numFmtId="0" fontId="8" fillId="6" borderId="12" xfId="0" applyNumberFormat="1" applyFont="1" applyFill="1" applyBorder="1" applyAlignment="1">
      <x:alignment horizontal="center" vertical="center" wrapText="1"/>
    </x:xf>
    <x:xf numFmtId="0" fontId="8" fillId="6" borderId="13" xfId="0" applyNumberFormat="1" applyFont="1" applyFill="1" applyBorder="1" applyAlignment="1">
      <x:alignment horizontal="center" vertical="center" wrapText="1"/>
    </x:xf>
    <x:xf numFmtId="0" fontId="8" fillId="6" borderId="1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left" vertical="center" wrapText="1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5" fillId="5" borderId="10" xfId="0" applyNumberFormat="1" applyFont="1" applyFill="1" applyBorder="1" applyAlignment="1">
      <x:alignment horizontal="left" vertical="center" wrapText="1"/>
    </x:xf>
    <x:xf numFmtId="200" fontId="5" fillId="5" borderId="0" xfId="0" applyNumberFormat="1" applyFont="1" applyFill="1" applyBorder="1" applyAlignment="1">
      <x:alignment horizontal="left" vertical="center" wrapText="1"/>
    </x:xf>
    <x:xf numFmtId="203" fontId="5" fillId="5" borderId="0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7" borderId="10" xfId="0" applyNumberFormat="1" applyFont="1" applyFill="1" applyBorder="1" applyAlignment="1">
      <x:alignment horizontal="center" vertical="center" wrapText="1"/>
    </x:xf>
    <x:xf numFmtId="201" fontId="5" fillId="5" borderId="5" xfId="0" applyNumberFormat="1" applyFont="1" applyFill="1" applyBorder="1" applyAlignment="1">
      <x:alignment horizontal="center" vertical="center" wrapText="1"/>
    </x:xf>
    <x:xf numFmtId="201" fontId="5" fillId="5" borderId="0" xfId="0" applyNumberFormat="1" applyFont="1" applyFill="1" applyBorder="1" applyAlignment="1">
      <x:alignment horizontal="center" vertical="center" wrapText="1"/>
    </x:xf>
    <x:xf numFmtId="201" fontId="5" fillId="5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caa68c591f4671" /><Relationship Type="http://schemas.openxmlformats.org/officeDocument/2006/relationships/theme" Target="/xl/theme/theme1.xml" Id="R64b995e59a1f4537" /><Relationship Type="http://schemas.openxmlformats.org/officeDocument/2006/relationships/sharedStrings" Target="/xl/sharedStrings.xml" Id="Rf95a75f8f8354a6d" /><Relationship Type="http://schemas.openxmlformats.org/officeDocument/2006/relationships/worksheet" Target="/xl/worksheets/sheet1.xml" Id="Re103472cbc24414c" /><Relationship Type="http://schemas.openxmlformats.org/officeDocument/2006/relationships/worksheet" Target="/xl/worksheets/sheet2.xml" Id="R3803986db9a847e2" /><Relationship Type="http://schemas.openxmlformats.org/officeDocument/2006/relationships/worksheet" Target="/xl/worksheets/sheet3.xml" Id="Rfb2019d4b8a848cd" /><Relationship Type="http://schemas.openxmlformats.org/officeDocument/2006/relationships/worksheet" Target="/xl/worksheets/sheet4.xml" Id="R09a7a8dbc46844a4" /><Relationship Type="http://schemas.openxmlformats.org/officeDocument/2006/relationships/worksheet" Target="/xl/worksheets/sheet5.xml" Id="Ra6a5646dea7547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3d95f221e2f4b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맑은 고딕"/>
                <a:ea typeface="맑은 고딕"/>
                <a:cs typeface="맑은 고딕"/>
              </a:rPr>
              <a:t>PCM Amplitude별 패킷 비트값 및 예상 전류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맑은 고딕"/>
              <a:ea typeface="맑은 고딕"/>
              <a:cs typeface="맑은 고딕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패킷 비트값</c:v>
          </c:tx>
          <c:marker>
            <c:symbol val="none"/>
          </c:marker>
          <c:cat>
            <c:strRef>
              <c:f>'PCM-전류 LUT'!$A$5:$A$260</c:f>
              <c:strCache>
                <c:ptCount val="0"/>
              </c:strCache>
            </c:strRef>
          </c:cat>
          <c:val>
            <c:numRef>
              <c:f>'PCM-전류 LUT'!$B$5:$B$260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패킷 출력 시 전류 [uA]</c:v>
          </c:tx>
          <c:marker>
            <c:symbol val="none"/>
          </c:marker>
          <c:cat>
            <c:strRef>
              <c:f>'PCM-전류 LUT'!$A$5:$A$260</c:f>
              <c:strCache>
                <c:ptCount val="0"/>
              </c:strCache>
            </c:strRef>
          </c:cat>
          <c:val>
            <c:numRef>
              <c:f>'PCM-전류 LUT'!$C$5:$C$260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mute 반영 전류 [uA]</c:v>
          </c:tx>
          <c:marker>
            <c:symbol val="none"/>
          </c:marker>
          <c:cat>
            <c:strRef>
              <c:f>'PCM-전류 LUT'!$A$5:$A$260</c:f>
              <c:strCache>
                <c:ptCount val="0"/>
              </c:strCache>
            </c:strRef>
          </c:cat>
          <c:val>
            <c:numRef>
              <c:f>'PCM-전류 LUT'!$D$5:$D$260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맑은 고딕"/>
                <a:ea typeface="맑은 고딕"/>
                <a:cs typeface="맑은 고딕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맑은 고딕"/>
                <a:ea typeface="맑은 고딕"/>
                <a:cs typeface="맑은 고딕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맑은 고딕"/>
              <a:ea typeface="맑은 고딕"/>
              <a:cs typeface="맑은 고딕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d95f221e2f4be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df37e1706e7491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6" hidden="0" customWidth="1"/>
    <x:col min="3" max="3" width="24" hidden="0" customWidth="1"/>
    <x:col min="4" max="4" width="25" hidden="0" customWidth="1"/>
    <x:col min="5" max="5" width="18" hidden="0" customWidth="1"/>
    <x:col min="6" max="6" width="13" hidden="0" customWidth="1"/>
    <x:col min="7" max="7" width="30" hidden="0" customWidth="1"/>
    <x:col min="8" max="8" width="3" hidden="0" customWidth="1"/>
  </x:cols>
  <x:sheetData>
    <x:row r="1" ht="34" customHeight="1">
      <x:c r="A1" s="4" t="str">
        <x:v>Sound1 dB SPL → PCM Amplitude → 예상 자극 전류</x:v>
      </x:c>
      <x:c r="B1" s="4" t="str">
        <x:v>Sound1 dB SPL → PCM Amplitude → 예상 자극 전류</x:v>
      </x:c>
      <x:c r="C1" s="4" t="str">
        <x:v>Sound1 dB SPL → PCM Amplitude → 예상 자극 전류</x:v>
      </x:c>
      <x:c r="D1" s="4" t="str">
        <x:v>Sound1 dB SPL → PCM Amplitude → 예상 자극 전류</x:v>
      </x:c>
      <x:c r="E1" s="4" t="str">
        <x:v>Sound1 dB SPL → PCM Amplitude → 예상 자극 전류</x:v>
      </x:c>
      <x:c r="F1" s="4" t="str">
        <x:v>Sound1 dB SPL → PCM Amplitude → 예상 자극 전류</x:v>
      </x:c>
      <x:c r="G1" s="4" t="str">
        <x:v>Sound1 dB SPL → PCM Amplitude → 예상 자극 전류</x:v>
      </x:c>
      <x:c r="H1" s="4" t="str">
        <x:v>Sound1 dB SPL → PCM Amplitude → 예상 자극 전류</x:v>
      </x:c>
    </x:row>
    <x:row r="2">
      <x:c r="A2" s="97" t="str">
        <x:v>노란 입력 셀을 바꾸면 현재 펌웨어 기준 계산이 갱신됩니다. 예상 전류는 ISD 1.1.2 명목 DAC 상수에 따른 산출값이며 시료별 실측 오차는 포함하지 않습니다.</x:v>
      </x:c>
      <x:c r="B2" s="97"/>
      <x:c r="C2" s="97"/>
      <x:c r="D2" s="97"/>
      <x:c r="E2" s="97"/>
      <x:c r="F2" s="97"/>
      <x:c r="G2" s="97"/>
      <x:c r="H2" s="97"/>
    </x:row>
    <x:row r="4" ht="24" customHeight="1">
      <x:c r="A4" s="10" t="str">
        <x:v>시험 입력</x:v>
      </x:c>
      <x:c r="B4" s="10" t="str">
        <x:v>시험 입력</x:v>
      </x:c>
      <x:c r="C4" s="10" t="str">
        <x:v>시험 입력</x:v>
      </x:c>
      <x:c r="D4" s="10" t="str">
        <x:v>계산 결과</x:v>
      </x:c>
      <x:c r="E4" s="10" t="str">
        <x:v>계산 결과</x:v>
      </x:c>
      <x:c r="F4" s="10" t="str">
        <x:v>계산 결과</x:v>
      </x:c>
      <x:c r="G4" s="10" t="str">
        <x:v>계산 결과</x:v>
      </x:c>
      <x:c r="H4" s="10" t="str">
        <x:v>계산 결과</x:v>
      </x:c>
    </x:row>
    <x:row r="5">
      <x:c r="A5" s="84" t="str">
        <x:v>프로그램</x:v>
      </x:c>
      <x:c r="B5" s="119" t="n">
        <x:v>1</x:v>
      </x:c>
      <x:c r="C5" s="77" t="str">
        <x:v>1~4</x:v>
      </x:c>
      <x:c r="D5" s="84" t="str">
        <x:v>명목 maxAudioInput</x:v>
      </x:c>
      <x:c r="E5" s="122" t="n">
        <x:f>INT('상수 및 근거'!$B$18*POWER(10,($B$8-'상수 및 근거'!$B$19-$B$11)/20))</x:f>
        <x:v>319</x:v>
      </x:c>
      <x:c r="F5" s="76" t="str">
        <x:v>count</x:v>
      </x:c>
      <x:c r="G5" s="77" t="str">
        <x:v>dB SPL→ADC</x:v>
      </x:c>
    </x:row>
    <x:row r="6">
      <x:c r="A6" s="85" t="str">
        <x:v>전극 번호</x:v>
      </x:c>
      <x:c r="B6" s="120" t="n">
        <x:v>26</x:v>
      </x:c>
      <x:c r="C6" s="80" t="str">
        <x:v>1~32</x:v>
      </x:c>
      <x:c r="D6" s="85" t="str">
        <x:v>가장 가까운 FFT bin</x:v>
      </x:c>
      <x:c r="E6" s="123" t="n">
        <x:f>ROUND($B$7/'상수 및 근거'!$B$28,0)</x:f>
        <x:v>122</x:v>
      </x:c>
      <x:c r="F6" s="79" t="str">
        <x:v>bin</x:v>
      </x:c>
      <x:c r="G6" s="80" t="str">
        <x:v>512점/16 kHz</x:v>
      </x:c>
    </x:row>
    <x:row r="7">
      <x:c r="A7" s="85" t="str">
        <x:v>입력 주파수 [Hz]</x:v>
      </x:c>
      <x:c r="B7" s="120" t="n">
        <x:v>3815</x:v>
      </x:c>
      <x:c r="C7" s="80" t="str">
        <x:v>0~7,968.75</x:v>
      </x:c>
      <x:c r="D7" s="85" t="str">
        <x:v>대상 주파수 대역</x:v>
      </x:c>
      <x:c r="E7" s="123" t="n">
        <x:f>INDEX('상수 및 근거'!$Q$5:$Q$260,E6+1)</x:f>
        <x:v>26</x:v>
      </x:c>
      <x:c r="F7" s="79" t="str">
        <x:v>1-based</x:v>
      </x:c>
      <x:c r="G7" s="80" t="str">
        <x:v>32대역 pass-bin</x:v>
      </x:c>
    </x:row>
    <x:row r="8">
      <x:c r="A8" s="85" t="str">
        <x:v>입력 음압 [dB SPL]</x:v>
      </x:c>
      <x:c r="B8" s="120" t="n">
        <x:v>70</x:v>
      </x:c>
      <x:c r="C8" s="80" t="str">
        <x:v>Sound1 최대 110</x:v>
      </x:c>
      <x:c r="D8" s="85" t="str">
        <x:v>AGC 입력</x:v>
      </x:c>
      <x:c r="E8" s="125" t="n">
        <x:f>10*LOG10(MAX(1,E5)*32/POWER(2,47))</x:f>
        <x:v>-101.3946913483</x:v>
      </x:c>
      <x:c r="F8" s="79" t="str">
        <x:v>dB</x:v>
      </x:c>
      <x:c r="G8" s="80" t="str">
        <x:v>CFX Q-format 등가</x:v>
      </x:c>
    </x:row>
    <x:row r="9">
      <x:c r="A9" s="85" t="str">
        <x:v>오디오 볼륨</x:v>
      </x:c>
      <x:c r="B9" s="120" t="n">
        <x:v>1</x:v>
      </x:c>
      <x:c r="C9" s="80" t="str">
        <x:v>1~10</x:v>
      </x:c>
      <x:c r="D9" s="85" t="str">
        <x:v>AGC 구간</x:v>
      </x:c>
      <x:c r="E9" s="125" t="str">
        <x:f>IF(E8&lt;'상수 및 근거'!$B$21,"잡음",IF(E8&gt;'상수 및 근거'!$B$22,"감쇠","증폭"))</x:f>
        <x:v>증폭</x:v>
      </x:c>
      <x:c r="F9" s="79" t="str"/>
      <x:c r="G9" s="80" t="str">
        <x:v>잡음/증폭/감쇠</x:v>
      </x:c>
    </x:row>
    <x:row r="10">
      <x:c r="A10" s="85" t="str">
        <x:v>자극 볼륨</x:v>
      </x:c>
      <x:c r="B10" s="120" t="n">
        <x:v>4</x:v>
      </x:c>
      <x:c r="C10" s="80" t="str">
        <x:v>1~4</x:v>
      </x:c>
      <x:c r="D10" s="85" t="str">
        <x:v>AGC 정상상태 이득</x:v>
      </x:c>
      <x:c r="E10" s="125" t="n">
        <x:f>IF(E8&lt;'상수 및 근거'!$B$21,E8+INDEX('상수 및 근거'!$D$5:$D$14,$B$9),IF(E8&gt;'상수 및 근거'!$B$22,INDEX('상수 및 근거'!$E$5:$E$14,$B$9)*E8+INDEX('상수 및 근거'!$B$5:$B$14,$B$9)-E8,INDEX('상수 및 근거'!$C$5:$C$14,$B$9)))</x:f>
        <x:v>0</x:v>
      </x:c>
      <x:c r="F10" s="79" t="str">
        <x:v>dB</x:v>
      </x:c>
      <x:c r="G10" s="80" t="str">
        <x:v>1초 유지 조건</x:v>
      </x:c>
    </x:row>
    <x:row r="11">
      <x:c r="A11" s="85" t="str">
        <x:v>완제품 감쇠 [dB]</x:v>
      </x:c>
      <x:c r="B11" s="120" t="n">
        <x:v>8.293</x:v>
      </x:c>
      <x:c r="C11" s="80" t="str">
        <x:v>Sound1 ADC 표</x:v>
      </x:c>
      <x:c r="D11" s="85" t="str">
        <x:v>AGC 선형 이득</x:v>
      </x:c>
      <x:c r="E11" s="125" t="n">
        <x:f>POWER(10,E10/10)</x:f>
        <x:v>1</x:v>
      </x:c>
      <x:c r="F11" s="79" t="str">
        <x:v>배</x:v>
      </x:c>
      <x:c r="G11" s="80" t="str"/>
    </x:row>
    <x:row r="12">
      <x:c r="A12" s="85" t="str">
        <x:v>HEAR 보정 계수</x:v>
      </x:c>
      <x:c r="B12" s="120" t="n">
        <x:v>1</x:v>
      </x:c>
      <x:c r="C12" s="80" t="str">
        <x:v>기본 1.0</x:v>
      </x:c>
      <x:c r="D12" s="85" t="str">
        <x:v>AGC 출력 peak</x:v>
      </x:c>
      <x:c r="E12" s="125" t="n">
        <x:f>INT(E5*E11)</x:f>
        <x:v>319</x:v>
      </x:c>
      <x:c r="F12" s="79" t="str">
        <x:v>count</x:v>
      </x:c>
      <x:c r="G12" s="80" t="str"/>
    </x:row>
    <x:row r="13">
      <x:c r="A13" s="85" t="str">
        <x:v>T 미만 mute mode</x:v>
      </x:c>
      <x:c r="B13" s="120" t="n">
        <x:v>2</x:v>
      </x:c>
      <x:c r="C13" s="80" t="str">
        <x:v>1=켜짐, 2=꺼짐</x:v>
      </x:c>
      <x:c r="D13" s="85" t="str">
        <x:v>Hann/주파수 보정</x:v>
      </x:c>
      <x:c r="E13" s="125" t="n">
        <x:f>INDEX('상수 및 근거'!$J$25:$J$75,ROUND(ABS($B$7/'상수 및 근거'!$B$28-E6)*100,0)+1)*$B$12</x:f>
        <x:v>0.9939499572535135</x:v>
      </x:c>
      <x:c r="F13" s="79" t="str">
        <x:v>배</x:v>
      </x:c>
      <x:c r="G13" s="80" t="str">
        <x:v>bin 오프셋</x:v>
      </x:c>
    </x:row>
    <x:row r="14">
      <x:c r="A14" s="86" t="str">
        <x:v>T mute offset [level]</x:v>
      </x:c>
      <x:c r="B14" s="121" t="n">
        <x:v>2</x:v>
      </x:c>
      <x:c r="C14" s="83" t="str">
        <x:v>기본 2</x:v>
      </x:c>
      <x:c r="D14" s="85" t="str">
        <x:v>대역 대표값</x:v>
      </x:c>
      <x:c r="E14" s="123" t="n">
        <x:f>INT(E12*E13)</x:f>
        <x:v>317</x:v>
      </x:c>
      <x:c r="F14" s="79" t="str">
        <x:v>count</x:v>
      </x:c>
      <x:c r="G14" s="80" t="str">
        <x:v>g_freq_rep_values_scaled</x:v>
      </x:c>
    </x:row>
    <x:row r="15">
      <x:c r="D15" s="85" t="str">
        <x:v>맵 T</x:v>
      </x:c>
      <x:c r="E15" s="123" t="n">
        <x:f>INDEX('기본 맵 및 CM3'!$G$12:$G$139,($B$5-1)*32+$B$6)</x:f>
        <x:v>500</x:v>
      </x:c>
      <x:c r="F15" s="79" t="str">
        <x:v>uA</x:v>
      </x:c>
      <x:c r="G15" s="80" t="str">
        <x:v>ci_map.c</x:v>
      </x:c>
    </x:row>
    <x:row r="16">
      <x:c r="D16" s="85" t="str">
        <x:v>맵 C</x:v>
      </x:c>
      <x:c r="E16" s="123" t="n">
        <x:f>INDEX('기본 맵 및 CM3'!$H$12:$H$139,($B$5-1)*32+$B$6)</x:f>
        <x:v>1500</x:v>
      </x:c>
      <x:c r="F16" s="79" t="str">
        <x:v>uA</x:v>
      </x:c>
      <x:c r="G16" s="80" t="str">
        <x:v>ci_map.c</x:v>
      </x:c>
    </x:row>
    <x:row r="17">
      <x:c r="D17" s="85" t="str">
        <x:v>T 레벨</x:v>
      </x:c>
      <x:c r="E17" s="123" t="n">
        <x:f>INDEX('기본 맵 및 CM3'!$M$12:$M$139,($B$5-1)*32+$B$6)</x:f>
        <x:v>0</x:v>
      </x:c>
      <x:c r="F17" s="79" t="str">
        <x:v>0~255</x:v>
      </x:c>
      <x:c r="G17" s="80" t="str">
        <x:v>CM3 계산</x:v>
      </x:c>
    </x:row>
    <x:row r="18">
      <x:c r="D18" s="85" t="str">
        <x:v>C 레벨</x:v>
      </x:c>
      <x:c r="E18" s="123" t="n">
        <x:f>INDEX('기본 맵 및 CM3'!$N$12:$N$139,($B$5-1)*32+$B$6)</x:f>
        <x:v>211</x:v>
      </x:c>
      <x:c r="F18" s="79" t="str">
        <x:v>0~255</x:v>
      </x:c>
      <x:c r="G18" s="80" t="str">
        <x:v>CM3 계산</x:v>
      </x:c>
    </x:row>
    <x:row r="19">
      <x:c r="D19" s="85" t="str">
        <x:v>볼륨 반영 C 한계</x:v>
      </x:c>
      <x:c r="E19" s="123" t="n">
        <x:f>E17+INT((E18-E17)*INDEX('상수 및 근거'!$J$5:$J$8,$B$10)/4194304)</x:f>
        <x:v>211</x:v>
      </x:c>
      <x:c r="F19" s="79" t="str">
        <x:v>0~255</x:v>
      </x:c>
      <x:c r="G19" s="80" t="str">
        <x:v>자극 볼륨</x:v>
      </x:c>
    </x:row>
    <x:row r="20">
      <x:c r="D20" s="85" t="str">
        <x:v>볼륨 반영 xMin</x:v>
      </x:c>
      <x:c r="E20" s="123" t="n">
        <x:f>INT(INDEX('기본 맵 및 CM3'!$I$12:$I$139,($B$5-1)*32+$B$6)*INDEX('상수 및 근거'!$F$5:$F$14,$B$9)/32768)</x:f>
        <x:v>8</x:v>
      </x:c>
      <x:c r="F20" s="79" t="str">
        <x:v>count</x:v>
      </x:c>
      <x:c r="G20" s="80" t="str">
        <x:v>오디오 볼륨</x:v>
      </x:c>
    </x:row>
    <x:row r="21">
      <x:c r="D21" s="85" t="str">
        <x:v>xMax</x:v>
      </x:c>
      <x:c r="E21" s="123" t="n">
        <x:f>INDEX('기본 맵 및 CM3'!$J$12:$J$139,($B$5-1)*32+$B$6)</x:f>
        <x:v>21892</x:v>
      </x:c>
      <x:c r="F21" s="79" t="str">
        <x:v>count</x:v>
      </x:c>
      <x:c r="G21" s="80" t="str">
        <x:v>기본 맵</x:v>
      </x:c>
    </x:row>
    <x:row r="22">
      <x:c r="D22" s="85" t="str">
        <x:v>입력 x^p</x:v>
      </x:c>
      <x:c r="E22" s="123" t="n">
        <x:f>IF(E14&lt;1,0,INT(POWER(E14,0.15)*65536))</x:f>
        <x:v>155467</x:v>
      </x:c>
      <x:c r="F22" s="79" t="str">
        <x:v>Q8.16</x:v>
      </x:c>
      <x:c r="G22" s="80" t="str">
        <x:v>p=0.15</x:v>
      </x:c>
    </x:row>
    <x:row r="23">
      <x:c r="D23" s="85" t="str">
        <x:v>xMin^p</x:v>
      </x:c>
      <x:c r="E23" s="123" t="n">
        <x:f>IF(E20&lt;1,0,INT(POWER(E20,0.15)*65536))</x:f>
        <x:v>89524</x:v>
      </x:c>
      <x:c r="F23" s="79" t="str">
        <x:v>Q8.16</x:v>
      </x:c>
      <x:c r="G23" s="80" t="str"/>
    </x:row>
    <x:row r="24">
      <x:c r="D24" s="85" t="str">
        <x:v>xMax^p</x:v>
      </x:c>
      <x:c r="E24" s="123" t="n">
        <x:f>INT(POWER(E21,0.15)*65536)</x:f>
        <x:v>293442</x:v>
      </x:c>
      <x:c r="F24" s="79" t="str">
        <x:v>Q8.16</x:v>
      </x:c>
      <x:c r="G24" s="80" t="str"/>
    </x:row>
    <x:row r="25">
      <x:c r="D25" s="85" t="str">
        <x:v>로그계수 A</x:v>
      </x:c>
      <x:c r="E25" s="123" t="n">
        <x:f>INT((E19-E17)*16777216/(E24-E23))</x:f>
        <x:v>17359</x:v>
      </x:c>
      <x:c r="F25" s="79" t="str">
        <x:v>Q16.8</x:v>
      </x:c>
      <x:c r="G25" s="80" t="str"/>
    </x:row>
    <x:row r="26">
      <x:c r="D26" s="85" t="str">
        <x:v>로그계수 B</x:v>
      </x:c>
      <x:c r="E26" s="123" t="n">
        <x:f>E19*256-INT(E25*E24/65536)</x:f>
        <x:v>-23710</x:v>
      </x:c>
      <x:c r="F26" s="79" t="str">
        <x:v>Q16.8</x:v>
      </x:c>
      <x:c r="G26" s="80" t="str"/>
    </x:row>
    <x:row r="27">
      <x:c r="D27" s="85" t="str">
        <x:v>클램프 전 Amplitude</x:v>
      </x:c>
      <x:c r="E27" s="123" t="n">
        <x:f>INT((INT(E25*E22/65536)+E26)/256)</x:f>
        <x:v>68</x:v>
      </x:c>
      <x:c r="F27" s="79" t="str">
        <x:v>level</x:v>
      </x:c>
      <x:c r="G27" s="80" t="str"/>
    </x:row>
    <x:row r="28">
      <x:c r="D28" s="85" t="str">
        <x:v>PCM Amplitude</x:v>
      </x:c>
      <x:c r="E28" s="123" t="n">
        <x:f>IF($B$13=1,IF(E27&lt;E17+$B$14,0,MIN(E19,E27)),MAX(E17,MIN(E19,E27)))</x:f>
        <x:v>68</x:v>
      </x:c>
      <x:c r="F28" s="79" t="str">
        <x:v>0~255</x:v>
      </x:c>
      <x:c r="G28" s="80" t="str">
        <x:v>패킷 8비트</x:v>
      </x:c>
    </x:row>
    <x:row r="29">
      <x:c r="D29" s="85" t="str">
        <x:v>예상 자극 전류</x:v>
      </x:c>
      <x:c r="E29" s="126" t="n">
        <x:f>IF(INDEX('기본 맵 및 CM3'!$P$12:$P$139,($B$5-1)*32+$B$6)="N",0,IF(AND($B$13=1,E28=0),0,INDEX('기본 맵 및 CM3'!$Q$5:$Q$8,$B$5)+INT(INDEX('기본 맵 및 CM3'!$K$5:$K$8,$B$5)*E28/4096)))</x:f>
        <x:v>817</x:v>
      </x:c>
      <x:c r="F29" s="79" t="str">
        <x:v>uA</x:v>
      </x:c>
      <x:c r="G29" s="80" t="str">
        <x:v>명목 DAC</x:v>
      </x:c>
    </x:row>
    <x:row r="30">
      <x:c r="D30" s="85" t="str">
        <x:v>BLE 표시 전류</x:v>
      </x:c>
      <x:c r="E30" s="126" t="n">
        <x:f>IF(E28=0,0,E29)</x:f>
        <x:v>817</x:v>
      </x:c>
      <x:c r="F30" s="79" t="str">
        <x:v>uA</x:v>
      </x:c>
      <x:c r="G30" s="80" t="str">
        <x:v>Amplitude=0이면 0 표시</x:v>
      </x:c>
    </x:row>
    <x:row r="31">
      <x:c r="D31" s="85" t="str">
        <x:v>PCB 자극 채널</x:v>
      </x:c>
      <x:c r="E31" s="123" t="n">
        <x:f>INDEX('기본 맵 및 CM3'!$O$12:$O$139,($B$5-1)*32+$B$6)</x:f>
        <x:v>29</x:v>
      </x:c>
      <x:c r="F31" s="79" t="str">
        <x:v>0-based</x:v>
      </x:c>
      <x:c r="G31" s="80" t="str">
        <x:v>electrodeMap</x:v>
      </x:c>
    </x:row>
    <x:row r="32">
      <x:c r="D32" s="85" t="str">
        <x:v>첫 펄스 위상</x:v>
      </x:c>
      <x:c r="E32" s="123" t="n">
        <x:f>INDEX('기본 맵 및 CM3'!$D$12:$D$139,($B$5-1)*32+$B$6)</x:f>
        <x:v>0</x:v>
      </x:c>
      <x:c r="F32" s="79" t="str">
        <x:v>0/1</x:v>
      </x:c>
      <x:c r="G32" s="80" t="str">
        <x:v>0=음, 1=양</x:v>
      </x:c>
    </x:row>
    <x:row r="33">
      <x:c r="D33" s="85" t="str">
        <x:v>PCM 패킷</x:v>
      </x:c>
      <x:c r="E33" s="123" t="n">
        <x:f>IF(OR(INDEX('기본 맵 및 CM3'!$P$12:$P$139,($B$5-1)*32+$B$6)="N",AND($B$13=1,E28=0)),0,262144+E32*32768+E31*1024+E28*4)</x:f>
        <x:v>292112</x:v>
      </x:c>
      <x:c r="F33" s="79" t="str">
        <x:v>decimal</x:v>
      </x:c>
      <x:c r="G33" s="80" t="str">
        <x:v>20bit</x:v>
      </x:c>
    </x:row>
    <x:row r="34">
      <x:c r="D34" s="85" t="str">
        <x:v>펄스폭</x:v>
      </x:c>
      <x:c r="E34" s="123" t="n">
        <x:f>INDEX('기본 맵 및 CM3'!$E$12:$E$139,($B$5-1)*32+$B$6)</x:f>
        <x:v>50</x:v>
      </x:c>
      <x:c r="F34" s="79" t="str">
        <x:v>us</x:v>
      </x:c>
      <x:c r="G34" s="80" t="str">
        <x:v>phase width</x:v>
      </x:c>
    </x:row>
    <x:row r="35">
      <x:c r="D35" s="85" t="str">
        <x:v>위상당 전하</x:v>
      </x:c>
      <x:c r="E35" s="123" t="n">
        <x:f>E29*E34</x:f>
        <x:v>40850</x:v>
      </x:c>
      <x:c r="F35" s="79" t="str">
        <x:v>pC</x:v>
      </x:c>
      <x:c r="G35" s="80" t="str">
        <x:v>전류×펄스폭</x:v>
      </x:c>
    </x:row>
    <x:row r="36">
      <x:c r="D36" s="85" t="str">
        <x:v>PCM frame/ch</x:v>
      </x:c>
      <x:c r="E36" s="123" t="n">
        <x:f>INDEX('기본 맵 및 CM3'!$R$5:$R$8,$B$5)</x:f>
        <x:v>3</x:v>
      </x:c>
      <x:c r="F36" s="79" t="str">
        <x:v>frame</x:v>
      </x:c>
      <x:c r="G36" s="80" t="str"/>
    </x:row>
    <x:row r="37">
      <x:c r="D37" s="85" t="str">
        <x:v>전송 ch/ms</x:v>
      </x:c>
      <x:c r="E37" s="123" t="n">
        <x:f>INDEX('기본 맵 및 CM3'!$S$5:$S$8,$B$5)</x:f>
        <x:v>8</x:v>
      </x:c>
      <x:c r="F37" s="79" t="str">
        <x:v>channel</x:v>
      </x:c>
      <x:c r="G37" s="80" t="str"/>
    </x:row>
    <x:row r="38">
      <x:c r="D38" s="86" t="str">
        <x:v>맵 활성 상태</x:v>
      </x:c>
      <x:c r="E38" s="124" t="str">
        <x:f>INDEX('기본 맵 및 CM3'!$P$12:$P$139,($B$5-1)*32+$B$6)</x:f>
        <x:v>Y</x:v>
      </x:c>
      <x:c r="F38" s="82" t="str">
        <x:v>Y/N</x:v>
      </x:c>
      <x:c r="G38" s="83" t="str">
        <x:v>프로그램 대역 수 기준</x:v>
      </x:c>
    </x:row>
    <x:row r="40">
      <x:c r="D40" s="129" t="str">
        <x:v>중요: HEAR vMag는 LUT 제곱근 근사이며, DAC 상수는 명목값입니다. 이 계산표는 시험 기댓값의 중앙값 산출용이고 최종 합격 허용오차는 시료 실측으로 별도 확정해야 합니다.</x:v>
      </x:c>
      <x:c r="E40" s="129"/>
      <x:c r="F40" s="129"/>
      <x:c r="G40" s="129"/>
      <x:c r="H40" s="129"/>
    </x:row>
  </x:sheetData>
  <x:mergeCells>
    <x:mergeCell ref="A1:H1"/>
    <x:mergeCell ref="A2:H2"/>
    <x:mergeCell ref="A4:C4"/>
    <x:mergeCell ref="D4:H4"/>
    <x:mergeCell ref="D40:H40"/>
  </x:mergeCells>
  <x:dataValidations count="7">
    <x:dataValidation type="whole" operator="between" sqref="B5">
      <x:formula1>1</x:formula1>
      <x:formula2>4</x:formula2>
    </x:dataValidation>
    <x:dataValidation type="whole" operator="between" sqref="B6">
      <x:formula1>1</x:formula1>
      <x:formula2>32</x:formula2>
    </x:dataValidation>
    <x:dataValidation type="decimal" operator="between" sqref="B7">
      <x:formula1>0</x:formula1>
      <x:formula2>7968.75</x:formula2>
    </x:dataValidation>
    <x:dataValidation type="decimal" operator="between" sqref="B8">
      <x:formula1>0</x:formula1>
      <x:formula2>110</x:formula2>
    </x:dataValidation>
    <x:dataValidation type="whole" operator="between" sqref="B9">
      <x:formula1>1</x:formula1>
      <x:formula2>10</x:formula2>
    </x:dataValidation>
    <x:dataValidation type="whole" operator="between" sqref="B10">
      <x:formula1>1</x:formula1>
      <x:formula2>4</x:formula2>
    </x:dataValidation>
    <x:dataValidation type="list" sqref="B13">
      <x:formula1>"1,2"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1" hidden="0" customWidth="1"/>
    <x:col min="5" max="5" width="11" hidden="0" customWidth="1"/>
    <x:col min="6" max="6" width="13" hidden="0" customWidth="1"/>
    <x:col min="7" max="7" width="12" hidden="0" customWidth="1"/>
    <x:col min="8" max="8" width="12" hidden="0" customWidth="1"/>
    <x:col min="9" max="9" width="11" hidden="0" customWidth="1"/>
    <x:col min="10" max="10" width="13" hidden="0" customWidth="1"/>
    <x:col min="11" max="11" width="8" hidden="0" customWidth="1"/>
    <x:col min="12" max="12" width="14" hidden="0" customWidth="1"/>
    <x:col min="13" max="13" width="16" hidden="0" customWidth="1"/>
    <x:col min="14" max="14" width="16" hidden="0" customWidth="1"/>
    <x:col min="15" max="15" width="12" hidden="0" customWidth="1"/>
    <x:col min="16" max="16" width="28" hidden="0" customWidth="1"/>
    <x:col min="17" max="17" width="14" hidden="0" customWidth="1"/>
    <x:col min="18" max="18" width="14" hidden="0" customWidth="1"/>
    <x:col min="19" max="19" width="13" hidden="0" customWidth="1"/>
    <x:col min="20" max="20" width="11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3" hidden="0" customWidth="1"/>
  </x:cols>
  <x:sheetData>
    <x:row r="1" ht="34" customHeight="1">
      <x:c r="A1" s="4" t="str">
        <x:v>필수성능 ID-6 입력 음압별 예상 자극 전류 재계산</x:v>
      </x:c>
      <x:c r="B1" s="4" t="str">
        <x:v>필수성능 ID-6 입력 음압별 예상 자극 전류 재계산</x:v>
      </x:c>
      <x:c r="C1" s="4" t="str">
        <x:v>필수성능 ID-6 입력 음압별 예상 자극 전류 재계산</x:v>
      </x:c>
      <x:c r="D1" s="4" t="str">
        <x:v>필수성능 ID-6 입력 음압별 예상 자극 전류 재계산</x:v>
      </x:c>
      <x:c r="E1" s="4" t="str">
        <x:v>필수성능 ID-6 입력 음압별 예상 자극 전류 재계산</x:v>
      </x:c>
      <x:c r="F1" s="4" t="str">
        <x:v>필수성능 ID-6 입력 음압별 예상 자극 전류 재계산</x:v>
      </x:c>
      <x:c r="G1" s="4" t="str">
        <x:v>필수성능 ID-6 입력 음압별 예상 자극 전류 재계산</x:v>
      </x:c>
      <x:c r="H1" s="4" t="str">
        <x:v>필수성능 ID-6 입력 음압별 예상 자극 전류 재계산</x:v>
      </x:c>
      <x:c r="I1" s="4" t="str">
        <x:v>필수성능 ID-6 입력 음압별 예상 자극 전류 재계산</x:v>
      </x:c>
      <x:c r="J1" s="4" t="str">
        <x:v>필수성능 ID-6 입력 음압별 예상 자극 전류 재계산</x:v>
      </x:c>
      <x:c r="K1" s="4" t="str">
        <x:v>필수성능 ID-6 입력 음압별 예상 자극 전류 재계산</x:v>
      </x:c>
      <x:c r="L1" s="4" t="str">
        <x:v>필수성능 ID-6 입력 음압별 예상 자극 전류 재계산</x:v>
      </x:c>
      <x:c r="M1" s="4" t="str">
        <x:v>필수성능 ID-6 입력 음압별 예상 자극 전류 재계산</x:v>
      </x:c>
      <x:c r="N1" s="4" t="str">
        <x:v>필수성능 ID-6 입력 음압별 예상 자극 전류 재계산</x:v>
      </x:c>
      <x:c r="O1" s="4" t="str">
        <x:v>필수성능 ID-6 입력 음압별 예상 자극 전류 재계산</x:v>
      </x:c>
      <x:c r="P1" s="4" t="str">
        <x:v>필수성능 ID-6 입력 음압별 예상 자극 전류 재계산</x:v>
      </x:c>
      <x:c r="Q1" s="4" t="str">
        <x:v>필수성능 ID-6 입력 음압별 예상 자극 전류 재계산</x:v>
      </x:c>
      <x:c r="R1" s="4" t="str">
        <x:v>필수성능 ID-6 입력 음압별 예상 자극 전류 재계산</x:v>
      </x:c>
      <x:c r="S1" s="4" t="str">
        <x:v>필수성능 ID-6 입력 음압별 예상 자극 전류 재계산</x:v>
      </x:c>
      <x:c r="T1" s="4" t="str">
        <x:v>필수성능 ID-6 입력 음압별 예상 자극 전류 재계산</x:v>
      </x:c>
      <x:c r="U1" s="4" t="str">
        <x:v>필수성능 ID-6 입력 음압별 예상 자극 전류 재계산</x:v>
      </x:c>
      <x:c r="V1" s="4" t="str">
        <x:v>필수성능 ID-6 입력 음압별 예상 자극 전류 재계산</x:v>
      </x:c>
      <x:c r="W1" s="4" t="str">
        <x:v>필수성능 ID-6 입력 음압별 예상 자극 전류 재계산</x:v>
      </x:c>
      <x:c r="X1" s="4" t="str">
        <x:v>필수성능 ID-6 입력 음압별 예상 자극 전류 재계산</x:v>
      </x:c>
      <x:c r="Y1" s="4" t="str">
        <x:v>필수성능 ID-6 입력 음압별 예상 자극 전류 재계산</x:v>
      </x:c>
      <x:c r="Z1" s="4" t="str">
        <x:v>필수성능 ID-6 입력 음압별 예상 자극 전류 재계산</x:v>
      </x:c>
    </x:row>
    <x:row r="2">
      <x:c r="A2" s="97" t="str">
        <x:v>프로그램 1, 전극/채널 26, 3,815 Hz, 자극 볼륨 4를 고정하고 오디오 볼륨과 음압만 바꾼 코드 모델입니다. 기존 기준서 명목 전류는 비교 열에 그대로 보존했습니다.</x:v>
      </x:c>
      <x:c r="B2" s="97"/>
      <x:c r="C2" s="97"/>
      <x:c r="D2" s="97"/>
      <x:c r="E2" s="97"/>
      <x:c r="F2" s="97"/>
      <x:c r="G2" s="97"/>
      <x:c r="H2" s="97"/>
      <x:c r="I2" s="97"/>
      <x:c r="J2" s="97"/>
      <x:c r="K2" s="97"/>
      <x:c r="L2" s="97"/>
      <x:c r="M2" s="97"/>
      <x:c r="N2" s="97"/>
      <x:c r="O2" s="97"/>
      <x:c r="P2" s="97"/>
      <x:c r="Q2" s="97"/>
      <x:c r="R2" s="97"/>
      <x:c r="S2" s="97"/>
      <x:c r="T2" s="97"/>
      <x:c r="U2" s="97"/>
      <x:c r="V2" s="97"/>
      <x:c r="W2" s="97"/>
      <x:c r="X2" s="97"/>
      <x:c r="Y2" s="97"/>
      <x:c r="Z2" s="97"/>
    </x:row>
    <x:row r="4" ht="31" customHeight="1">
      <x:c r="A4" s="21" t="str">
        <x:v>No.</x:v>
      </x:c>
      <x:c r="B4" s="22" t="str">
        <x:v>조건</x:v>
      </x:c>
      <x:c r="C4" s="22" t="str">
        <x:v>주파수 [Hz]</x:v>
      </x:c>
      <x:c r="D4" s="22" t="str">
        <x:v>오디오 볼륨</x:v>
      </x:c>
      <x:c r="E4" s="22" t="str">
        <x:v>자극 볼륨</x:v>
      </x:c>
      <x:c r="F4" s="22" t="str">
        <x:v>음압 [dB SPL]</x:v>
      </x:c>
      <x:c r="G4" s="22" t="str">
        <x:v>Sound1 ADC</x:v>
      </x:c>
      <x:c r="H4" s="22" t="str">
        <x:v>AGC peak</x:v>
      </x:c>
      <x:c r="I4" s="22" t="str">
        <x:v>FFT 보정</x:v>
      </x:c>
      <x:c r="J4" s="22" t="str">
        <x:v>대역 대표값</x:v>
      </x:c>
      <x:c r="K4" s="22" t="str">
        <x:v>대역</x:v>
      </x:c>
      <x:c r="L4" s="22" t="str">
        <x:v>PCM Amplitude</x:v>
      </x:c>
      <x:c r="M4" s="22" t="str">
        <x:v>코드 예상 전류 [uA]</x:v>
      </x:c>
      <x:c r="N4" s="22" t="str">
        <x:v>현 기준서 명목 [uA]</x:v>
      </x:c>
      <x:c r="O4" s="22" t="str">
        <x:v>차이 [uA]</x:v>
      </x:c>
      <x:c r="P4" s="22" t="str">
        <x:v>비고</x:v>
      </x:c>
      <x:c r="Q4" s="22" t="str">
        <x:v>AGC 입력 [dB]</x:v>
      </x:c>
      <x:c r="R4" s="22" t="str">
        <x:v>AGC 이득 [dB]</x:v>
      </x:c>
      <x:c r="S4" s="22" t="str">
        <x:v>AGC 이득 [배]</x:v>
      </x:c>
      <x:c r="T4" s="22" t="str">
        <x:v>xMin gain</x:v>
      </x:c>
      <x:c r="U4" s="22" t="str">
        <x:v>x^p 입력</x:v>
      </x:c>
      <x:c r="V4" s="22" t="str">
        <x:v>xMin^p</x:v>
      </x:c>
      <x:c r="W4" s="22" t="str">
        <x:v>xMax^p</x:v>
      </x:c>
      <x:c r="X4" s="22" t="str">
        <x:v>계수 A</x:v>
      </x:c>
      <x:c r="Y4" s="22" t="str">
        <x:v>계수 B</x:v>
      </x:c>
      <x:c r="Z4" s="23" t="str">
        <x:v>Raw Amplitude</x:v>
      </x:c>
    </x:row>
    <x:row r="5">
      <x:c r="A5" s="130" t="n">
        <x:v>1</x:v>
      </x:c>
      <x:c r="B5" s="107" t="str">
        <x:v>최소 A</x:v>
      </x:c>
      <x:c r="C5" s="107" t="n">
        <x:v>3815</x:v>
      </x:c>
      <x:c r="D5" s="107" t="n">
        <x:v>1</x:v>
      </x:c>
      <x:c r="E5" s="107" t="n">
        <x:v>4</x:v>
      </x:c>
      <x:c r="F5" s="107" t="n">
        <x:v>35</x:v>
      </x:c>
      <x:c r="G5" s="99" t="n">
        <x:f>INT('상수 및 근거'!$B$18*POWER(10,(F5-'상수 및 근거'!$B$19-'상수 및 근거'!$B$20)/20))</x:f>
        <x:v>5</x:v>
      </x:c>
      <x:c r="H5" s="99" t="n">
        <x:f>INT(G5*S5)</x:f>
        <x:v>3</x:v>
      </x:c>
      <x:c r="I5" s="136" t="n">
        <x:f>INDEX('상수 및 근거'!$J$25:$J$75,ROUND(ABS(C5/31.25-ROUND(C5/31.25,0))*100,0)+1)</x:f>
        <x:v>0.9939499572535135</x:v>
      </x:c>
      <x:c r="J5" s="99" t="n">
        <x:f>INT(H5*I5)</x:f>
        <x:v>2</x:v>
      </x:c>
      <x:c r="K5" s="99" t="n">
        <x:f>INDEX('상수 및 근거'!$Q$5:$Q$260,ROUND(C5/31.25,0)+1)</x:f>
        <x:v>26</x:v>
      </x:c>
      <x:c r="L5" s="99" t="n">
        <x:f>MAX(INDEX('기본 맵 및 CM3'!$M$12:$M$139,26),MIN(INDEX('기본 맵 및 CM3'!$N$12:$N$139,26),Z5))</x:f>
        <x:v>0</x:v>
      </x:c>
      <x:c r="M5" s="99" t="n">
        <x:f>INDEX('기본 맵 및 CM3'!$Q$5:$Q$8,1)+INT(INDEX('기본 맵 및 CM3'!$K$5:$K$8,1)*L5/4096)</x:f>
        <x:v>497</x:v>
      </x:c>
      <x:c r="N5" s="133" t="n">
        <x:v>537</x:v>
      </x:c>
      <x:c r="O5" s="133" t="n">
        <x:f>M5-N5</x:f>
        <x:v>-40</x:v>
      </x:c>
      <x:c r="P5" s="133" t="str">
        <x:v>비교용이며 이 표 자체로 합격/불합격을 판정하지 않음</x:v>
      </x:c>
      <x:c r="Q5" s="60" t="n">
        <x:f>10*LOG10(MAX(1,G5)*32/POWER(2,47))</x:f>
        <x:v>-119.442898135512</x:v>
      </x:c>
      <x:c r="R5" s="60" t="n">
        <x:f>IF(Q5&lt;'상수 및 근거'!$B$21,Q5+INDEX('상수 및 근거'!$D$5:$D$14,D5),IF(Q5&gt;'상수 및 근거'!$B$22,INDEX('상수 및 근거'!$E$5:$E$14,D5)*Q5+INDEX('상수 및 근거'!$B$5:$B$14,D5)-Q5,INDEX('상수 및 근거'!$C$5:$C$14,D5)))</x:f>
        <x:v>-1.9458278230119959</x:v>
      </x:c>
      <x:c r="S5" s="60" t="n">
        <x:f>POWER(10,R5/10)</x:f>
        <x:v>0.6388769473026855</x:v>
      </x:c>
      <x:c r="T5" s="52" t="n">
        <x:f>INT(8*INDEX('상수 및 근거'!$F$5:$F$14,D5)/32768)</x:f>
        <x:v>8</x:v>
      </x:c>
      <x:c r="U5" s="52" t="n">
        <x:f>IF(J5&lt;1,0,INT(POWER(J5,0.15)*65536))</x:f>
        <x:v>72716</x:v>
      </x:c>
      <x:c r="V5" s="52" t="n">
        <x:f>IF(T5&lt;1,0,INT(POWER(T5,0.15)*65536))</x:f>
        <x:v>89524</x:v>
      </x:c>
      <x:c r="W5" s="52" t="n">
        <x:f>INT(POWER(21892,0.15)*65536)</x:f>
        <x:v>293442</x:v>
      </x:c>
      <x:c r="X5" s="52" t="n">
        <x:f>INT((INDEX('기본 맵 및 CM3'!$N$12:$N$139,26)-INDEX('기본 맵 및 CM3'!$M$12:$M$139,26))*16777216/(W5-V5))</x:f>
        <x:v>17359</x:v>
      </x:c>
      <x:c r="Y5" s="52" t="n">
        <x:f>INDEX('기본 맵 및 CM3'!$N$12:$N$139,26)*256-INT(X5*W5/65536)</x:f>
        <x:v>-23710</x:v>
      </x:c>
      <x:c r="Z5" s="53" t="n">
        <x:f>INT((INT(X5*U5/65536)+Y5)/256)</x:f>
        <x:v>-18</x:v>
      </x:c>
    </x:row>
    <x:row r="6">
      <x:c r="A6" s="131" t="n">
        <x:v>2</x:v>
      </x:c>
      <x:c r="B6" s="108" t="str">
        <x:v>최소 B</x:v>
      </x:c>
      <x:c r="C6" s="108" t="n">
        <x:v>3815</x:v>
      </x:c>
      <x:c r="D6" s="108" t="n">
        <x:v>10</x:v>
      </x:c>
      <x:c r="E6" s="108" t="n">
        <x:v>4</x:v>
      </x:c>
      <x:c r="F6" s="108" t="n">
        <x:v>35</x:v>
      </x:c>
      <x:c r="G6" s="102" t="n">
        <x:f>INT('상수 및 근거'!$B$18*POWER(10,(F6-'상수 및 근거'!$B$19-'상수 및 근거'!$B$20)/20))</x:f>
        <x:v>5</x:v>
      </x:c>
      <x:c r="H6" s="102" t="n">
        <x:f>INT(G6*S6)</x:f>
        <x:v>97</x:v>
      </x:c>
      <x:c r="I6" s="137" t="n">
        <x:f>INDEX('상수 및 근거'!$J$25:$J$75,ROUND(ABS(C6/31.25-ROUND(C6/31.25,0))*100,0)+1)</x:f>
        <x:v>0.9939499572535135</x:v>
      </x:c>
      <x:c r="J6" s="102" t="n">
        <x:f>INT(H6*I6)</x:f>
        <x:v>96</x:v>
      </x:c>
      <x:c r="K6" s="102" t="n">
        <x:f>INDEX('상수 및 근거'!$Q$5:$Q$260,ROUND(C6/31.25,0)+1)</x:f>
        <x:v>26</x:v>
      </x:c>
      <x:c r="L6" s="102" t="n">
        <x:f>MAX(INDEX('기본 맵 및 CM3'!$M$12:$M$139,26),MIN(INDEX('기본 맵 및 CM3'!$N$12:$N$139,26),Z6))</x:f>
        <x:v>0</x:v>
      </x:c>
      <x:c r="M6" s="102" t="n">
        <x:f>INDEX('기본 맵 및 CM3'!$Q$5:$Q$8,1)+INT(INDEX('기본 맵 및 CM3'!$K$5:$K$8,1)*L6/4096)</x:f>
        <x:v>497</x:v>
      </x:c>
      <x:c r="N6" s="134" t="n">
        <x:v>596</x:v>
      </x:c>
      <x:c r="O6" s="134" t="n">
        <x:f>M6-N6</x:f>
        <x:v>-99</x:v>
      </x:c>
      <x:c r="P6" s="134" t="str">
        <x:v>비교용이며 이 표 자체로 합격/불합격을 판정하지 않음</x:v>
      </x:c>
      <x:c r="Q6" s="61" t="n">
        <x:f>10*LOG10(MAX(1,G6)*32/POWER(2,47))</x:f>
        <x:v>-119.442898135512</x:v>
      </x:c>
      <x:c r="R6" s="61" t="n">
        <x:f>IF(Q6&lt;'상수 및 근거'!$B$21,Q6+INDEX('상수 및 근거'!$D$5:$D$14,D6),IF(Q6&gt;'상수 및 근거'!$B$22,INDEX('상수 및 근거'!$E$5:$E$14,D6)*Q6+INDEX('상수 및 근거'!$B$5:$B$14,D6)-Q6,INDEX('상수 및 근거'!$C$5:$C$14,D6)))</x:f>
        <x:v>12.904758114488004</x:v>
      </x:c>
      <x:c r="S6" s="61" t="n">
        <x:f>POWER(10,R6/10)</x:f>
        <x:v>19.519820130401147</x:v>
      </x:c>
      <x:c r="T6" s="55" t="n">
        <x:f>INT(8*INDEX('상수 및 근거'!$F$5:$F$14,D6)/32768)</x:f>
        <x:v>239</x:v>
      </x:c>
      <x:c r="U6" s="55" t="n">
        <x:f>IF(J6&lt;1,0,INT(POWER(J6,0.15)*65536))</x:f>
        <x:v>129963</x:v>
      </x:c>
      <x:c r="V6" s="55" t="n">
        <x:f>IF(T6&lt;1,0,INT(POWER(T6,0.15)*65536))</x:f>
        <x:v>149018</x:v>
      </x:c>
      <x:c r="W6" s="55" t="n">
        <x:f>INT(POWER(21892,0.15)*65536)</x:f>
        <x:v>293442</x:v>
      </x:c>
      <x:c r="X6" s="55" t="n">
        <x:f>INT((INDEX('기본 맵 및 CM3'!$N$12:$N$139,26)-INDEX('기본 맵 및 CM3'!$M$12:$M$139,26))*16777216/(W6-V6))</x:f>
        <x:v>24511</x:v>
      </x:c>
      <x:c r="Y6" s="55" t="n">
        <x:f>INDEX('기본 맵 및 CM3'!$N$12:$N$139,26)*256-INT(X6*W6/65536)</x:f>
        <x:v>-55733</x:v>
      </x:c>
      <x:c r="Z6" s="56" t="n">
        <x:f>INT((INT(X6*U6/65536)+Y6)/256)</x:f>
        <x:v>-28</x:v>
      </x:c>
    </x:row>
    <x:row r="7">
      <x:c r="A7" s="131" t="n">
        <x:v>3</x:v>
      </x:c>
      <x:c r="B7" s="108" t="str">
        <x:v>일상 A</x:v>
      </x:c>
      <x:c r="C7" s="108" t="n">
        <x:v>3815</x:v>
      </x:c>
      <x:c r="D7" s="108" t="n">
        <x:v>1</x:v>
      </x:c>
      <x:c r="E7" s="108" t="n">
        <x:v>4</x:v>
      </x:c>
      <x:c r="F7" s="108" t="n">
        <x:v>70</x:v>
      </x:c>
      <x:c r="G7" s="102" t="n">
        <x:f>INT('상수 및 근거'!$B$18*POWER(10,(F7-'상수 및 근거'!$B$19-'상수 및 근거'!$B$20)/20))</x:f>
        <x:v>319</x:v>
      </x:c>
      <x:c r="H7" s="102" t="n">
        <x:f>INT(G7*S7)</x:f>
        <x:v>319</x:v>
      </x:c>
      <x:c r="I7" s="137" t="n">
        <x:f>INDEX('상수 및 근거'!$J$25:$J$75,ROUND(ABS(C7/31.25-ROUND(C7/31.25,0))*100,0)+1)</x:f>
        <x:v>0.9939499572535135</x:v>
      </x:c>
      <x:c r="J7" s="102" t="n">
        <x:f>INT(H7*I7)</x:f>
        <x:v>317</x:v>
      </x:c>
      <x:c r="K7" s="102" t="n">
        <x:f>INDEX('상수 및 근거'!$Q$5:$Q$260,ROUND(C7/31.25,0)+1)</x:f>
        <x:v>26</x:v>
      </x:c>
      <x:c r="L7" s="102" t="n">
        <x:f>MAX(INDEX('기본 맵 및 CM3'!$M$12:$M$139,26),MIN(INDEX('기본 맵 및 CM3'!$N$12:$N$139,26),Z7))</x:f>
        <x:v>68</x:v>
      </x:c>
      <x:c r="M7" s="102" t="n">
        <x:f>INDEX('기본 맵 및 CM3'!$Q$5:$Q$8,1)+INT(INDEX('기본 맵 및 CM3'!$K$5:$K$8,1)*L7/4096)</x:f>
        <x:v>817</x:v>
      </x:c>
      <x:c r="N7" s="134" t="n">
        <x:v>936</x:v>
      </x:c>
      <x:c r="O7" s="134" t="n">
        <x:f>M7-N7</x:f>
        <x:v>-119</x:v>
      </x:c>
      <x:c r="P7" s="134" t="str">
        <x:v>비교용이며 이 표 자체로 합격/불합격을 판정하지 않음</x:v>
      </x:c>
      <x:c r="Q7" s="61" t="n">
        <x:f>10*LOG10(MAX(1,G7)*32/POWER(2,47))</x:f>
        <x:v>-101.3946913483</x:v>
      </x:c>
      <x:c r="R7" s="61" t="n">
        <x:f>IF(Q7&lt;'상수 및 근거'!$B$21,Q7+INDEX('상수 및 근거'!$D$5:$D$14,D7),IF(Q7&gt;'상수 및 근거'!$B$22,INDEX('상수 및 근거'!$E$5:$E$14,D7)*Q7+INDEX('상수 및 근거'!$B$5:$B$14,D7)-Q7,INDEX('상수 및 근거'!$C$5:$C$14,D7)))</x:f>
        <x:v>0</x:v>
      </x:c>
      <x:c r="S7" s="61" t="n">
        <x:f>POWER(10,R7/10)</x:f>
        <x:v>1</x:v>
      </x:c>
      <x:c r="T7" s="55" t="n">
        <x:f>INT(8*INDEX('상수 및 근거'!$F$5:$F$14,D7)/32768)</x:f>
        <x:v>8</x:v>
      </x:c>
      <x:c r="U7" s="55" t="n">
        <x:f>IF(J7&lt;1,0,INT(POWER(J7,0.15)*65536))</x:f>
        <x:v>155467</x:v>
      </x:c>
      <x:c r="V7" s="55" t="n">
        <x:f>IF(T7&lt;1,0,INT(POWER(T7,0.15)*65536))</x:f>
        <x:v>89524</x:v>
      </x:c>
      <x:c r="W7" s="55" t="n">
        <x:f>INT(POWER(21892,0.15)*65536)</x:f>
        <x:v>293442</x:v>
      </x:c>
      <x:c r="X7" s="55" t="n">
        <x:f>INT((INDEX('기본 맵 및 CM3'!$N$12:$N$139,26)-INDEX('기본 맵 및 CM3'!$M$12:$M$139,26))*16777216/(W7-V7))</x:f>
        <x:v>17359</x:v>
      </x:c>
      <x:c r="Y7" s="55" t="n">
        <x:f>INDEX('기본 맵 및 CM3'!$N$12:$N$139,26)*256-INT(X7*W7/65536)</x:f>
        <x:v>-23710</x:v>
      </x:c>
      <x:c r="Z7" s="56" t="n">
        <x:f>INT((INT(X7*U7/65536)+Y7)/256)</x:f>
        <x:v>68</x:v>
      </x:c>
    </x:row>
    <x:row r="8">
      <x:c r="A8" s="131" t="n">
        <x:v>4</x:v>
      </x:c>
      <x:c r="B8" s="108" t="str">
        <x:v>일상 B</x:v>
      </x:c>
      <x:c r="C8" s="108" t="n">
        <x:v>3815</x:v>
      </x:c>
      <x:c r="D8" s="108" t="n">
        <x:v>10</x:v>
      </x:c>
      <x:c r="E8" s="108" t="n">
        <x:v>4</x:v>
      </x:c>
      <x:c r="F8" s="108" t="n">
        <x:v>70</x:v>
      </x:c>
      <x:c r="G8" s="102" t="n">
        <x:f>INT('상수 및 근거'!$B$18*POWER(10,(F8-'상수 및 근거'!$B$19-'상수 및 근거'!$B$20)/20))</x:f>
        <x:v>319</x:v>
      </x:c>
      <x:c r="H8" s="102" t="n">
        <x:f>INT(G8*S8)</x:f>
        <x:v>9746</x:v>
      </x:c>
      <x:c r="I8" s="137" t="n">
        <x:f>INDEX('상수 및 근거'!$J$25:$J$75,ROUND(ABS(C8/31.25-ROUND(C8/31.25,0))*100,0)+1)</x:f>
        <x:v>0.9939499572535135</x:v>
      </x:c>
      <x:c r="J8" s="102" t="n">
        <x:f>INT(H8*I8)</x:f>
        <x:v>9687</x:v>
      </x:c>
      <x:c r="K8" s="102" t="n">
        <x:f>INDEX('상수 및 근거'!$Q$5:$Q$260,ROUND(C8/31.25,0)+1)</x:f>
        <x:v>26</x:v>
      </x:c>
      <x:c r="L8" s="102" t="n">
        <x:f>MAX(INDEX('기본 맵 및 CM3'!$M$12:$M$139,26),MIN(INDEX('기본 맵 및 CM3'!$N$12:$N$139,26),Z8))</x:f>
        <x:v>161</x:v>
      </x:c>
      <x:c r="M8" s="102" t="n">
        <x:f>INDEX('기본 맵 및 CM3'!$Q$5:$Q$8,1)+INT(INDEX('기본 맵 및 CM3'!$K$5:$K$8,1)*L8/4096)</x:f>
        <x:v>1256</x:v>
      </x:c>
      <x:c r="N8" s="134" t="n">
        <x:v>1500</x:v>
      </x:c>
      <x:c r="O8" s="134" t="n">
        <x:f>M8-N8</x:f>
        <x:v>-244</x:v>
      </x:c>
      <x:c r="P8" s="134" t="str">
        <x:v>비교용이며 이 표 자체로 합격/불합격을 판정하지 않음</x:v>
      </x:c>
      <x:c r="Q8" s="61" t="n">
        <x:f>10*LOG10(MAX(1,G8)*32/POWER(2,47))</x:f>
        <x:v>-101.3946913483</x:v>
      </x:c>
      <x:c r="R8" s="61" t="n">
        <x:f>IF(Q8&lt;'상수 및 근거'!$B$21,Q8+INDEX('상수 및 근거'!$D$5:$D$14,D8),IF(Q8&gt;'상수 및 근거'!$B$22,INDEX('상수 및 근거'!$E$5:$E$14,D8)*Q8+INDEX('상수 및 근거'!$B$5:$B$14,D8)-Q8,INDEX('상수 및 근거'!$C$5:$C$14,D8)))</x:f>
        <x:v>14.850601196289062</x:v>
      </x:c>
      <x:c r="S8" s="61" t="n">
        <x:f>POWER(10,R8/10)</x:f>
        <x:v>30.55344036932099</x:v>
      </x:c>
      <x:c r="T8" s="55" t="n">
        <x:f>INT(8*INDEX('상수 및 근거'!$F$5:$F$14,D8)/32768)</x:f>
        <x:v>239</x:v>
      </x:c>
      <x:c r="U8" s="55" t="n">
        <x:f>IF(J8&lt;1,0,INT(POWER(J8,0.15)*65536))</x:f>
        <x:v>259661</x:v>
      </x:c>
      <x:c r="V8" s="55" t="n">
        <x:f>IF(T8&lt;1,0,INT(POWER(T8,0.15)*65536))</x:f>
        <x:v>149018</x:v>
      </x:c>
      <x:c r="W8" s="55" t="n">
        <x:f>INT(POWER(21892,0.15)*65536)</x:f>
        <x:v>293442</x:v>
      </x:c>
      <x:c r="X8" s="55" t="n">
        <x:f>INT((INDEX('기본 맵 및 CM3'!$N$12:$N$139,26)-INDEX('기본 맵 및 CM3'!$M$12:$M$139,26))*16777216/(W8-V8))</x:f>
        <x:v>24511</x:v>
      </x:c>
      <x:c r="Y8" s="55" t="n">
        <x:f>INDEX('기본 맵 및 CM3'!$N$12:$N$139,26)*256-INT(X8*W8/65536)</x:f>
        <x:v>-55733</x:v>
      </x:c>
      <x:c r="Z8" s="56" t="n">
        <x:f>INT((INT(X8*U8/65536)+Y8)/256)</x:f>
        <x:v>161</x:v>
      </x:c>
    </x:row>
    <x:row r="9">
      <x:c r="A9" s="131" t="n">
        <x:v>5</x:v>
      </x:c>
      <x:c r="B9" s="108" t="str">
        <x:v>최대 A</x:v>
      </x:c>
      <x:c r="C9" s="108" t="n">
        <x:v>3815</x:v>
      </x:c>
      <x:c r="D9" s="108" t="n">
        <x:v>1</x:v>
      </x:c>
      <x:c r="E9" s="108" t="n">
        <x:v>4</x:v>
      </x:c>
      <x:c r="F9" s="108" t="n">
        <x:v>110</x:v>
      </x:c>
      <x:c r="G9" s="102" t="n">
        <x:f>INT('상수 및 근거'!$B$18*POWER(10,(F9-'상수 및 근거'!$B$19-'상수 및 근거'!$B$20)/20))</x:f>
        <x:v>31907</x:v>
      </x:c>
      <x:c r="H9" s="102" t="n">
        <x:f>INT(G9*S9)</x:f>
        <x:v>14016</x:v>
      </x:c>
      <x:c r="I9" s="137" t="n">
        <x:f>INDEX('상수 및 근거'!$J$25:$J$75,ROUND(ABS(C9/31.25-ROUND(C9/31.25,0))*100,0)+1)</x:f>
        <x:v>0.9939499572535135</x:v>
      </x:c>
      <x:c r="J9" s="102" t="n">
        <x:f>INT(H9*I9)</x:f>
        <x:v>13931</x:v>
      </x:c>
      <x:c r="K9" s="102" t="n">
        <x:f>INDEX('상수 및 근거'!$Q$5:$Q$260,ROUND(C9/31.25,0)+1)</x:f>
        <x:v>26</x:v>
      </x:c>
      <x:c r="L9" s="102" t="n">
        <x:f>MAX(INDEX('기본 맵 및 CM3'!$M$12:$M$139,26),MIN(INDEX('기본 맵 및 CM3'!$N$12:$N$139,26),Z9))</x:f>
        <x:v>191</x:v>
      </x:c>
      <x:c r="M9" s="102" t="n">
        <x:f>INDEX('기본 맵 및 CM3'!$Q$5:$Q$8,1)+INT(INDEX('기본 맵 및 CM3'!$K$5:$K$8,1)*L9/4096)</x:f>
        <x:v>1398</x:v>
      </x:c>
      <x:c r="N9" s="134" t="n">
        <x:v>1500</x:v>
      </x:c>
      <x:c r="O9" s="134" t="n">
        <x:f>M9-N9</x:f>
        <x:v>-102</x:v>
      </x:c>
      <x:c r="P9" s="134" t="str">
        <x:v>비교용이며 이 표 자체로 합격/불합격을 판정하지 않음</x:v>
      </x:c>
      <x:c r="Q9" s="61" t="n">
        <x:f>10*LOG10(MAX(1,G9)*32/POWER(2,47))</x:f>
        <x:v>-81.3937384555501</x:v>
      </x:c>
      <x:c r="R9" s="61" t="n">
        <x:f>IF(Q9&lt;'상수 및 근거'!$B$21,Q9+INDEX('상수 및 근거'!$D$5:$D$14,D9),IF(Q9&gt;'상수 및 근거'!$B$22,INDEX('상수 및 근거'!$E$5:$E$14,D9)*Q9+INDEX('상수 및 근거'!$B$5:$B$14,D9)-Q9,INDEX('상수 및 근거'!$C$5:$C$14,D9)))</x:f>
        <x:v>-3.572509898453035</x:v>
      </x:c>
      <x:c r="S9" s="61" t="n">
        <x:f>POWER(10,R9/10)</x:f>
        <x:v>0.4392876665292141</x:v>
      </x:c>
      <x:c r="T9" s="55" t="n">
        <x:f>INT(8*INDEX('상수 및 근거'!$F$5:$F$14,D9)/32768)</x:f>
        <x:v>8</x:v>
      </x:c>
      <x:c r="U9" s="55" t="n">
        <x:f>IF(J9&lt;1,0,INT(POWER(J9,0.15)*65536))</x:f>
        <x:v>274206</x:v>
      </x:c>
      <x:c r="V9" s="55" t="n">
        <x:f>IF(T9&lt;1,0,INT(POWER(T9,0.15)*65536))</x:f>
        <x:v>89524</x:v>
      </x:c>
      <x:c r="W9" s="55" t="n">
        <x:f>INT(POWER(21892,0.15)*65536)</x:f>
        <x:v>293442</x:v>
      </x:c>
      <x:c r="X9" s="55" t="n">
        <x:f>INT((INDEX('기본 맵 및 CM3'!$N$12:$N$139,26)-INDEX('기본 맵 및 CM3'!$M$12:$M$139,26))*16777216/(W9-V9))</x:f>
        <x:v>17359</x:v>
      </x:c>
      <x:c r="Y9" s="55" t="n">
        <x:f>INDEX('기본 맵 및 CM3'!$N$12:$N$139,26)*256-INT(X9*W9/65536)</x:f>
        <x:v>-23710</x:v>
      </x:c>
      <x:c r="Z9" s="56" t="n">
        <x:f>INT((INT(X9*U9/65536)+Y9)/256)</x:f>
        <x:v>191</x:v>
      </x:c>
    </x:row>
    <x:row r="10">
      <x:c r="A10" s="132" t="n">
        <x:v>6</x:v>
      </x:c>
      <x:c r="B10" s="109" t="str">
        <x:v>최대 B</x:v>
      </x:c>
      <x:c r="C10" s="109" t="n">
        <x:v>3815</x:v>
      </x:c>
      <x:c r="D10" s="109" t="n">
        <x:v>10</x:v>
      </x:c>
      <x:c r="E10" s="109" t="n">
        <x:v>4</x:v>
      </x:c>
      <x:c r="F10" s="109" t="n">
        <x:v>110</x:v>
      </x:c>
      <x:c r="G10" s="105" t="n">
        <x:f>INT('상수 및 근거'!$B$18*POWER(10,(F10-'상수 및 근거'!$B$19-'상수 및 근거'!$B$20)/20))</x:f>
        <x:v>31907</x:v>
      </x:c>
      <x:c r="H10" s="105" t="n">
        <x:f>INT(G10*S10)</x:f>
        <x:v>56268</x:v>
      </x:c>
      <x:c r="I10" s="138" t="n">
        <x:f>INDEX('상수 및 근거'!$J$25:$J$75,ROUND(ABS(C10/31.25-ROUND(C10/31.25,0))*100,0)+1)</x:f>
        <x:v>0.9939499572535135</x:v>
      </x:c>
      <x:c r="J10" s="105" t="n">
        <x:f>INT(H10*I10)</x:f>
        <x:v>55927</x:v>
      </x:c>
      <x:c r="K10" s="105" t="n">
        <x:f>INDEX('상수 및 근거'!$Q$5:$Q$260,ROUND(C10/31.25,0)+1)</x:f>
        <x:v>26</x:v>
      </x:c>
      <x:c r="L10" s="105" t="n">
        <x:f>MAX(INDEX('기본 맵 및 CM3'!$M$12:$M$139,26),MIN(INDEX('기본 맵 및 CM3'!$N$12:$N$139,26),Z10))</x:f>
        <x:v>211</x:v>
      </x:c>
      <x:c r="M10" s="105" t="n">
        <x:f>INDEX('기본 맵 및 CM3'!$Q$5:$Q$8,1)+INT(INDEX('기본 맵 및 CM3'!$K$5:$K$8,1)*L10/4096)</x:f>
        <x:v>1492</x:v>
      </x:c>
      <x:c r="N10" s="135" t="n">
        <x:v>1500</x:v>
      </x:c>
      <x:c r="O10" s="135" t="n">
        <x:f>M10-N10</x:f>
        <x:v>-8</x:v>
      </x:c>
      <x:c r="P10" s="135" t="str">
        <x:v>비교용이며 이 표 자체로 합격/불합격을 판정하지 않음</x:v>
      </x:c>
      <x:c r="Q10" s="62" t="n">
        <x:f>10*LOG10(MAX(1,G10)*32/POWER(2,47))</x:f>
        <x:v>-81.3937384555501</x:v>
      </x:c>
      <x:c r="R10" s="62" t="n">
        <x:f>IF(Q10&lt;'상수 및 근거'!$B$21,Q10+INDEX('상수 및 근거'!$D$5:$D$14,D10),IF(Q10&gt;'상수 및 근거'!$B$22,INDEX('상수 및 근거'!$E$5:$E$14,D10)*Q10+INDEX('상수 및 근거'!$B$5:$B$14,D10)-Q10,INDEX('상수 및 근거'!$C$5:$C$14,D10)))</x:f>
        <x:v>2.463793154751613</x:v>
      </x:c>
      <x:c r="S10" s="62" t="n">
        <x:f>POWER(10,R10/10)</x:f>
        <x:v>1.7635156393890785</x:v>
      </x:c>
      <x:c r="T10" s="58" t="n">
        <x:f>INT(8*INDEX('상수 및 근거'!$F$5:$F$14,D10)/32768)</x:f>
        <x:v>239</x:v>
      </x:c>
      <x:c r="U10" s="58" t="n">
        <x:f>IF(J10&lt;1,0,INT(POWER(J10,0.15)*65536))</x:f>
        <x:v>337771</x:v>
      </x:c>
      <x:c r="V10" s="58" t="n">
        <x:f>IF(T10&lt;1,0,INT(POWER(T10,0.15)*65536))</x:f>
        <x:v>149018</x:v>
      </x:c>
      <x:c r="W10" s="58" t="n">
        <x:f>INT(POWER(21892,0.15)*65536)</x:f>
        <x:v>293442</x:v>
      </x:c>
      <x:c r="X10" s="58" t="n">
        <x:f>INT((INDEX('기본 맵 및 CM3'!$N$12:$N$139,26)-INDEX('기본 맵 및 CM3'!$M$12:$M$139,26))*16777216/(W10-V10))</x:f>
        <x:v>24511</x:v>
      </x:c>
      <x:c r="Y10" s="58" t="n">
        <x:f>INDEX('기본 맵 및 CM3'!$N$12:$N$139,26)*256-INT(X10*W10/65536)</x:f>
        <x:v>-55733</x:v>
      </x:c>
      <x:c r="Z10" s="59" t="n">
        <x:f>INT((INT(X10*U10/65536)+Y10)/256)</x:f>
        <x:v>275</x:v>
      </x:c>
    </x:row>
    <x:row r="12">
      <x:c r="A12" s="129" t="str">
        <x:v>해석: 기존 기준서 값은 1.5세대 선행 실측 기반이고, 코드 예상값은 Sound1 완제품 ADC 모델과 현행 CFX/CM3 수식을 결합한 명목값입니다. 차이가 큰 조건은 기준서의 예상 전류를 실측 전에 재검토해야 합니다.</x:v>
      </x:c>
      <x:c r="B12" s="129"/>
      <x:c r="C12" s="129"/>
      <x:c r="D12" s="129"/>
      <x:c r="E12" s="129"/>
      <x:c r="F12" s="129"/>
      <x:c r="G12" s="129"/>
      <x:c r="H12" s="129"/>
      <x:c r="I12" s="129"/>
      <x:c r="J12" s="129"/>
      <x:c r="K12" s="129"/>
      <x:c r="L12" s="129"/>
      <x:c r="M12" s="129"/>
      <x:c r="N12" s="129"/>
      <x:c r="O12" s="129"/>
      <x:c r="P12" s="129"/>
    </x:row>
  </x:sheetData>
  <x:mergeCells>
    <x:mergeCell ref="A1:Z1"/>
    <x:mergeCell ref="A2:Z2"/>
    <x:mergeCell ref="A12:P12"/>
  </x:mergeCells>
  <x:conditionalFormatting sqref="O5:O10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9" hidden="0" customWidth="1"/>
    <x:col min="2" max="2" width="8" hidden="0" customWidth="1"/>
    <x:col min="3" max="3" width="10" hidden="0" customWidth="1"/>
    <x:col min="4" max="4" width="9" hidden="0" customWidth="1"/>
    <x:col min="5" max="5" width="10" hidden="0" customWidth="1"/>
    <x:col min="6" max="6" width="9" hidden="0" customWidth="1"/>
    <x:col min="7" max="7" width="10" hidden="0" customWidth="1"/>
    <x:col min="8" max="8" width="10" hidden="0" customWidth="1"/>
    <x:col min="9" max="9" width="9" hidden="0" customWidth="1"/>
    <x:col min="10" max="10" width="10" hidden="0" customWidth="1"/>
    <x:col min="11" max="11" width="10" hidden="0" customWidth="1"/>
    <x:col min="12" max="12" width="10" hidden="0" customWidth="1"/>
    <x:col min="13" max="13" width="11" hidden="0" customWidth="1"/>
    <x:col min="14" max="14" width="11" hidden="0" customWidth="1"/>
    <x:col min="15" max="15" width="10" hidden="0" customWidth="1"/>
    <x:col min="16" max="16" width="8" hidden="0" customWidth="1"/>
    <x:col min="17" max="17" width="11" hidden="0" customWidth="1"/>
    <x:col min="18" max="18" width="9" hidden="0" customWidth="1"/>
    <x:col min="19" max="19" width="9" hidden="0" customWidth="1"/>
    <x:col min="20" max="20" width="9" hidden="0" customWidth="1"/>
  </x:cols>
  <x:sheetData>
    <x:row r="1" ht="34" customHeight="1">
      <x:c r="A1" s="4" t="str">
        <x:v>CM3 기본 맵 및 stimulationParaCal 결과</x:v>
      </x:c>
      <x:c r="B1" s="4" t="str">
        <x:v>CM3 기본 맵 및 stimulationParaCal 결과</x:v>
      </x:c>
      <x:c r="C1" s="4" t="str">
        <x:v>CM3 기본 맵 및 stimulationParaCal 결과</x:v>
      </x:c>
      <x:c r="D1" s="4" t="str">
        <x:v>CM3 기본 맵 및 stimulationParaCal 결과</x:v>
      </x:c>
      <x:c r="E1" s="4" t="str">
        <x:v>CM3 기본 맵 및 stimulationParaCal 결과</x:v>
      </x:c>
      <x:c r="F1" s="4" t="str">
        <x:v>CM3 기본 맵 및 stimulationParaCal 결과</x:v>
      </x:c>
      <x:c r="G1" s="4" t="str">
        <x:v>CM3 기본 맵 및 stimulationParaCal 결과</x:v>
      </x:c>
      <x:c r="H1" s="4" t="str">
        <x:v>CM3 기본 맵 및 stimulationParaCal 결과</x:v>
      </x:c>
      <x:c r="I1" s="4" t="str">
        <x:v>CM3 기본 맵 및 stimulationParaCal 결과</x:v>
      </x:c>
      <x:c r="J1" s="4" t="str">
        <x:v>CM3 기본 맵 및 stimulationParaCal 결과</x:v>
      </x:c>
      <x:c r="K1" s="4" t="str">
        <x:v>CM3 기본 맵 및 stimulationParaCal 결과</x:v>
      </x:c>
      <x:c r="L1" s="4" t="str">
        <x:v>CM3 기본 맵 및 stimulationParaCal 결과</x:v>
      </x:c>
      <x:c r="M1" s="4" t="str">
        <x:v>CM3 기본 맵 및 stimulationParaCal 결과</x:v>
      </x:c>
      <x:c r="N1" s="4" t="str">
        <x:v>CM3 기본 맵 및 stimulationParaCal 결과</x:v>
      </x:c>
      <x:c r="O1" s="4" t="str">
        <x:v>CM3 기본 맵 및 stimulationParaCal 결과</x:v>
      </x:c>
      <x:c r="P1" s="4" t="str">
        <x:v>CM3 기본 맵 및 stimulationParaCal 결과</x:v>
      </x:c>
      <x:c r="Q1" s="4" t="str">
        <x:v>CM3 기본 맵 및 stimulationParaCal 결과</x:v>
      </x:c>
      <x:c r="R1" s="4" t="str">
        <x:v>CM3 기본 맵 및 stimulationParaCal 결과</x:v>
      </x:c>
      <x:c r="S1" s="4" t="str">
        <x:v>CM3 기본 맵 및 stimulationParaCal 결과</x:v>
      </x:c>
      <x:c r="T1" s="4" t="str">
        <x:v>CM3 기본 맵 및 stimulationParaCal 결과</x:v>
      </x:c>
    </x:row>
    <x:row r="2">
      <x:c r="A2" s="97" t="str">
        <x:v>현재 빌드(ISD_Ver_is_112)의 기본 맵을 기준으로 DAC 범위와 T/C 8비트 레벨을 정수 절삭까지 재현했습니다. 프로그램 3의 N-of-M 강제 설정도 반영했습니다.</x:v>
      </x:c>
      <x:c r="B2" s="97"/>
      <x:c r="C2" s="97"/>
      <x:c r="D2" s="97"/>
      <x:c r="E2" s="97"/>
      <x:c r="F2" s="97"/>
      <x:c r="G2" s="97"/>
      <x:c r="H2" s="97"/>
      <x:c r="I2" s="97"/>
      <x:c r="J2" s="97"/>
      <x:c r="K2" s="97"/>
      <x:c r="L2" s="97"/>
      <x:c r="M2" s="97"/>
      <x:c r="N2" s="97"/>
      <x:c r="O2" s="97"/>
      <x:c r="P2" s="97"/>
      <x:c r="Q2" s="97"/>
      <x:c r="R2" s="97"/>
      <x:c r="S2" s="97"/>
      <x:c r="T2" s="97"/>
    </x:row>
    <x:row r="3" ht="24" customHeight="1">
      <x:c r="A3" s="10" t="str">
        <x:v>프로그램별 CM3 산출</x:v>
      </x:c>
      <x:c r="B3" s="10" t="str">
        <x:v>프로그램별 CM3 산출</x:v>
      </x:c>
      <x:c r="C3" s="10" t="str">
        <x:v>프로그램별 CM3 산출</x:v>
      </x:c>
      <x:c r="D3" s="10" t="str">
        <x:v>프로그램별 CM3 산출</x:v>
      </x:c>
      <x:c r="E3" s="10" t="str">
        <x:v>프로그램별 CM3 산출</x:v>
      </x:c>
      <x:c r="F3" s="10" t="str">
        <x:v>프로그램별 CM3 산출</x:v>
      </x:c>
      <x:c r="G3" s="10" t="str">
        <x:v>프로그램별 CM3 산출</x:v>
      </x:c>
      <x:c r="H3" s="10" t="str">
        <x:v>프로그램별 CM3 산출</x:v>
      </x:c>
      <x:c r="I3" s="10" t="str">
        <x:v>프로그램별 CM3 산출</x:v>
      </x:c>
      <x:c r="J3" s="10" t="str">
        <x:v>프로그램별 CM3 산출</x:v>
      </x:c>
      <x:c r="K3" s="10" t="str">
        <x:v>프로그램별 CM3 산출</x:v>
      </x:c>
      <x:c r="L3" s="10" t="str">
        <x:v>프로그램별 CM3 산출</x:v>
      </x:c>
      <x:c r="M3" s="10" t="str">
        <x:v>프로그램별 CM3 산출</x:v>
      </x:c>
      <x:c r="N3" s="10" t="str">
        <x:v>프로그램별 CM3 산출</x:v>
      </x:c>
      <x:c r="O3" s="10" t="str">
        <x:v>프로그램별 CM3 산출</x:v>
      </x:c>
      <x:c r="P3" s="10" t="str">
        <x:v>프로그램별 CM3 산출</x:v>
      </x:c>
      <x:c r="Q3" s="10" t="str">
        <x:v>프로그램별 CM3 산출</x:v>
      </x:c>
      <x:c r="R3" s="10" t="str">
        <x:v>프로그램별 CM3 산출</x:v>
      </x:c>
      <x:c r="S3" s="10" t="str">
        <x:v>프로그램별 CM3 산출</x:v>
      </x:c>
      <x:c r="T3" s="10" t="str">
        <x:v>프로그램별 CM3 산출</x:v>
      </x:c>
    </x:row>
    <x:row r="4" ht="31" customHeight="1">
      <x:c r="A4" s="21" t="str">
        <x:v>프로그램</x:v>
      </x:c>
      <x:c r="B4" s="22" t="str">
        <x:v>전략</x:v>
      </x:c>
      <x:c r="C4" s="22" t="str">
        <x:v>첫 위상</x:v>
      </x:c>
      <x:c r="D4" s="22" t="str">
        <x:v>펄스폭 [us]</x:v>
      </x:c>
      <x:c r="E4" s="22" t="str">
        <x:v>대역 수</x:v>
      </x:c>
      <x:c r="F4" s="22" t="str">
        <x:v>최소 T [uA]</x:v>
      </x:c>
      <x:c r="G4" s="22" t="str">
        <x:v>최대 C [uA]</x:v>
      </x:c>
      <x:c r="H4" s="22" t="str">
        <x:v>동적범위 [uA]</x:v>
      </x:c>
      <x:c r="I4" s="22" t="str">
        <x:v>Stim DAC</x:v>
      </x:c>
      <x:c r="J4" s="22" t="str">
        <x:v>이름</x:v>
      </x:c>
      <x:c r="K4" s="22" t="str">
        <x:v>Stim slope Q5.12</x:v>
      </x:c>
      <x:c r="L4" s="22" t="str">
        <x:v>Offset DAC</x:v>
      </x:c>
      <x:c r="M4" s="22" t="str">
        <x:v>이름</x:v>
      </x:c>
      <x:c r="N4" s="22" t="str">
        <x:v>Offset slope Q5.12</x:v>
      </x:c>
      <x:c r="O4" s="22" t="str">
        <x:v>요청 offset [uA]</x:v>
      </x:c>
      <x:c r="P4" s="22" t="str">
        <x:v>offset reg</x:v>
      </x:c>
      <x:c r="Q4" s="22" t="str">
        <x:v>실현 offset [uA]</x:v>
      </x:c>
      <x:c r="R4" s="22" t="str">
        <x:v>frame/ch</x:v>
      </x:c>
      <x:c r="S4" s="22" t="str">
        <x:v>ch/ms</x:v>
      </x:c>
      <x:c r="T4" s="23" t="str">
        <x:v>상태</x:v>
      </x:c>
    </x:row>
    <x:row r="5">
      <x:c r="A5" s="98" t="n">
        <x:v>1</x:v>
      </x:c>
      <x:c r="B5" s="99" t="str">
        <x:v>CIS</x:v>
      </x:c>
      <x:c r="C5" s="99" t="str">
        <x:v>음(-)</x:v>
      </x:c>
      <x:c r="D5" s="99" t="n">
        <x:v>50</x:v>
      </x:c>
      <x:c r="E5" s="99" t="n">
        <x:v>32</x:v>
      </x:c>
      <x:c r="F5" s="99" t="n">
        <x:v>500</x:v>
      </x:c>
      <x:c r="G5" s="99" t="n">
        <x:v>1500</x:v>
      </x:c>
      <x:c r="H5" s="99" t="n">
        <x:v>1000</x:v>
      </x:c>
      <x:c r="I5" s="99" t="n">
        <x:v>2</x:v>
      </x:c>
      <x:c r="J5" s="99" t="str">
        <x:v>C</x:v>
      </x:c>
      <x:c r="K5" s="99" t="n">
        <x:v>19333</x:v>
      </x:c>
      <x:c r="L5" s="99" t="n">
        <x:v>1</x:v>
      </x:c>
      <x:c r="M5" s="99" t="str">
        <x:v>B</x:v>
      </x:c>
      <x:c r="N5" s="99" t="n">
        <x:v>18677</x:v>
      </x:c>
      <x:c r="O5" s="99" t="n">
        <x:v>500</x:v>
      </x:c>
      <x:c r="P5" s="99" t="n">
        <x:v>109</x:v>
      </x:c>
      <x:c r="Q5" s="99" t="n">
        <x:v>497</x:v>
      </x:c>
      <x:c r="R5" s="99" t="n">
        <x:v>3</x:v>
      </x:c>
      <x:c r="S5" s="99" t="n">
        <x:v>8</x:v>
      </x:c>
      <x:c r="T5" s="100" t="str">
        <x:v>정상</x:v>
      </x:c>
    </x:row>
    <x:row r="6">
      <x:c r="A6" s="101" t="n">
        <x:v>2</x:v>
      </x:c>
      <x:c r="B6" s="102" t="str">
        <x:v>CIS</x:v>
      </x:c>
      <x:c r="C6" s="102" t="str">
        <x:v>음(-)</x:v>
      </x:c>
      <x:c r="D6" s="102" t="n">
        <x:v>13</x:v>
      </x:c>
      <x:c r="E6" s="102" t="n">
        <x:v>24</x:v>
      </x:c>
      <x:c r="F6" s="102" t="n">
        <x:v>500</x:v>
      </x:c>
      <x:c r="G6" s="102" t="n">
        <x:v>1500</x:v>
      </x:c>
      <x:c r="H6" s="102" t="n">
        <x:v>1000</x:v>
      </x:c>
      <x:c r="I6" s="102" t="n">
        <x:v>2</x:v>
      </x:c>
      <x:c r="J6" s="102" t="str">
        <x:v>C</x:v>
      </x:c>
      <x:c r="K6" s="102" t="n">
        <x:v>19333</x:v>
      </x:c>
      <x:c r="L6" s="102" t="n">
        <x:v>1</x:v>
      </x:c>
      <x:c r="M6" s="102" t="str">
        <x:v>B</x:v>
      </x:c>
      <x:c r="N6" s="102" t="n">
        <x:v>18677</x:v>
      </x:c>
      <x:c r="O6" s="102" t="n">
        <x:v>500</x:v>
      </x:c>
      <x:c r="P6" s="102" t="n">
        <x:v>109</x:v>
      </x:c>
      <x:c r="Q6" s="102" t="n">
        <x:v>497</x:v>
      </x:c>
      <x:c r="R6" s="102" t="n">
        <x:v>1</x:v>
      </x:c>
      <x:c r="S6" s="102" t="n">
        <x:v>24</x:v>
      </x:c>
      <x:c r="T6" s="103" t="str">
        <x:v>정상</x:v>
      </x:c>
    </x:row>
    <x:row r="7">
      <x:c r="A7" s="101" t="n">
        <x:v>3</x:v>
      </x:c>
      <x:c r="B7" s="102" t="str">
        <x:v>N-of-M</x:v>
      </x:c>
      <x:c r="C7" s="102" t="str">
        <x:v>양(+)</x:v>
      </x:c>
      <x:c r="D7" s="102" t="n">
        <x:v>14</x:v>
      </x:c>
      <x:c r="E7" s="102" t="n">
        <x:v>32</x:v>
      </x:c>
      <x:c r="F7" s="102" t="n">
        <x:v>500</x:v>
      </x:c>
      <x:c r="G7" s="102" t="n">
        <x:v>1500</x:v>
      </x:c>
      <x:c r="H7" s="102" t="n">
        <x:v>1000</x:v>
      </x:c>
      <x:c r="I7" s="102" t="n">
        <x:v>2</x:v>
      </x:c>
      <x:c r="J7" s="102" t="str">
        <x:v>C</x:v>
      </x:c>
      <x:c r="K7" s="102" t="n">
        <x:v>19333</x:v>
      </x:c>
      <x:c r="L7" s="102" t="n">
        <x:v>1</x:v>
      </x:c>
      <x:c r="M7" s="102" t="str">
        <x:v>B</x:v>
      </x:c>
      <x:c r="N7" s="102" t="n">
        <x:v>18677</x:v>
      </x:c>
      <x:c r="O7" s="102" t="n">
        <x:v>500</x:v>
      </x:c>
      <x:c r="P7" s="102" t="n">
        <x:v>109</x:v>
      </x:c>
      <x:c r="Q7" s="102" t="n">
        <x:v>497</x:v>
      </x:c>
      <x:c r="R7" s="102" t="n">
        <x:v>3</x:v>
      </x:c>
      <x:c r="S7" s="102" t="n">
        <x:v>8</x:v>
      </x:c>
      <x:c r="T7" s="103" t="str">
        <x:v>정상</x:v>
      </x:c>
    </x:row>
    <x:row r="8">
      <x:c r="A8" s="104" t="n">
        <x:v>4</x:v>
      </x:c>
      <x:c r="B8" s="105" t="str">
        <x:v>CIS</x:v>
      </x:c>
      <x:c r="C8" s="105" t="str">
        <x:v>음(-)</x:v>
      </x:c>
      <x:c r="D8" s="105" t="n">
        <x:v>255</x:v>
      </x:c>
      <x:c r="E8" s="105" t="n">
        <x:v>32</x:v>
      </x:c>
      <x:c r="F8" s="105" t="n">
        <x:v>500</x:v>
      </x:c>
      <x:c r="G8" s="105" t="n">
        <x:v>1500</x:v>
      </x:c>
      <x:c r="H8" s="105" t="n">
        <x:v>1000</x:v>
      </x:c>
      <x:c r="I8" s="105" t="n">
        <x:v>2</x:v>
      </x:c>
      <x:c r="J8" s="105" t="str">
        <x:v>C</x:v>
      </x:c>
      <x:c r="K8" s="105" t="n">
        <x:v>19333</x:v>
      </x:c>
      <x:c r="L8" s="105" t="n">
        <x:v>1</x:v>
      </x:c>
      <x:c r="M8" s="105" t="str">
        <x:v>B</x:v>
      </x:c>
      <x:c r="N8" s="105" t="n">
        <x:v>18677</x:v>
      </x:c>
      <x:c r="O8" s="105" t="n">
        <x:v>500</x:v>
      </x:c>
      <x:c r="P8" s="105" t="n">
        <x:v>109</x:v>
      </x:c>
      <x:c r="Q8" s="105" t="n">
        <x:v>497</x:v>
      </x:c>
      <x:c r="R8" s="105" t="n">
        <x:v>13</x:v>
      </x:c>
      <x:c r="S8" s="105" t="n">
        <x:v>1</x:v>
      </x:c>
      <x:c r="T8" s="106" t="str">
        <x:v>정상</x:v>
      </x:c>
    </x:row>
    <x:row r="10" ht="24" customHeight="1">
      <x:c r="A10" s="10" t="str">
        <x:v>전극별 기본 맵과 T/C 255 변환</x:v>
      </x:c>
      <x:c r="B10" s="10" t="str">
        <x:v>전극별 기본 맵과 T/C 255 변환</x:v>
      </x:c>
      <x:c r="C10" s="10" t="str">
        <x:v>전극별 기본 맵과 T/C 255 변환</x:v>
      </x:c>
      <x:c r="D10" s="10" t="str">
        <x:v>전극별 기본 맵과 T/C 255 변환</x:v>
      </x:c>
      <x:c r="E10" s="10" t="str">
        <x:v>전극별 기본 맵과 T/C 255 변환</x:v>
      </x:c>
      <x:c r="F10" s="10" t="str">
        <x:v>전극별 기본 맵과 T/C 255 변환</x:v>
      </x:c>
      <x:c r="G10" s="10" t="str">
        <x:v>전극별 기본 맵과 T/C 255 변환</x:v>
      </x:c>
      <x:c r="H10" s="10" t="str">
        <x:v>전극별 기본 맵과 T/C 255 변환</x:v>
      </x:c>
      <x:c r="I10" s="10" t="str">
        <x:v>전극별 기본 맵과 T/C 255 변환</x:v>
      </x:c>
      <x:c r="J10" s="10" t="str">
        <x:v>전극별 기본 맵과 T/C 255 변환</x:v>
      </x:c>
      <x:c r="K10" s="10" t="str">
        <x:v>전극별 기본 맵과 T/C 255 변환</x:v>
      </x:c>
      <x:c r="L10" s="10" t="str">
        <x:v>전극별 기본 맵과 T/C 255 변환</x:v>
      </x:c>
      <x:c r="M10" s="10" t="str">
        <x:v>전극별 기본 맵과 T/C 255 변환</x:v>
      </x:c>
      <x:c r="N10" s="10" t="str">
        <x:v>전극별 기본 맵과 T/C 255 변환</x:v>
      </x:c>
      <x:c r="O10" s="10" t="str">
        <x:v>전극별 기본 맵과 T/C 255 변환</x:v>
      </x:c>
      <x:c r="P10" s="10" t="str">
        <x:v>전극별 기본 맵과 T/C 255 변환</x:v>
      </x:c>
    </x:row>
    <x:row r="11" ht="31" customHeight="1">
      <x:c r="A11" s="21" t="str">
        <x:v>프로그램</x:v>
      </x:c>
      <x:c r="B11" s="22" t="str">
        <x:v>전극</x:v>
      </x:c>
      <x:c r="C11" s="22" t="str">
        <x:v>전략</x:v>
      </x:c>
      <x:c r="D11" s="22" t="str">
        <x:v>첫 위상</x:v>
      </x:c>
      <x:c r="E11" s="22" t="str">
        <x:v>펄스폭</x:v>
      </x:c>
      <x:c r="F11" s="22" t="str">
        <x:v>대역 수</x:v>
      </x:c>
      <x:c r="G11" s="22" t="str">
        <x:v>T [uA]</x:v>
      </x:c>
      <x:c r="H11" s="22" t="str">
        <x:v>C [uA]</x:v>
      </x:c>
      <x:c r="I11" s="22" t="str">
        <x:v>xMin</x:v>
      </x:c>
      <x:c r="J11" s="22" t="str">
        <x:v>xMax</x:v>
      </x:c>
      <x:c r="K11" s="22" t="str">
        <x:v>할당 전극</x:v>
      </x:c>
      <x:c r="L11" s="22" t="str">
        <x:v>CIS 순서</x:v>
      </x:c>
      <x:c r="M11" s="22" t="str">
        <x:v>T [0~255]</x:v>
      </x:c>
      <x:c r="N11" s="22" t="str">
        <x:v>C [0~255]</x:v>
      </x:c>
      <x:c r="O11" s="22" t="str">
        <x:v>PCB 채널</x:v>
      </x:c>
      <x:c r="P11" s="23" t="str">
        <x:v>활성</x:v>
      </x:c>
    </x:row>
    <x:row r="12">
      <x:c r="A12" s="51" t="n">
        <x:v>1</x:v>
      </x:c>
      <x:c r="B12" s="52" t="n">
        <x:v>1</x:v>
      </x:c>
      <x:c r="C12" s="52" t="str">
        <x:v>CIS</x:v>
      </x:c>
      <x:c r="D12" s="52" t="n">
        <x:v>0</x:v>
      </x:c>
      <x:c r="E12" s="52" t="n">
        <x:v>50</x:v>
      </x:c>
      <x:c r="F12" s="52" t="n">
        <x:v>32</x:v>
      </x:c>
      <x:c r="G12" s="107" t="n">
        <x:v>500</x:v>
      </x:c>
      <x:c r="H12" s="107" t="n">
        <x:v>1500</x:v>
      </x:c>
      <x:c r="I12" s="107" t="n">
        <x:v>8</x:v>
      </x:c>
      <x:c r="J12" s="107" t="n">
        <x:v>21892</x:v>
      </x:c>
      <x:c r="K12" s="52" t="n">
        <x:v>1</x:v>
      </x:c>
      <x:c r="L12" s="52" t="n">
        <x:v>1</x:v>
      </x:c>
      <x:c r="M12" s="99" t="n">
        <x:v>0</x:v>
      </x:c>
      <x:c r="N12" s="99" t="n">
        <x:v>211</x:v>
      </x:c>
      <x:c r="O12" s="99" t="n">
        <x:v>31</x:v>
      </x:c>
      <x:c r="P12" s="53" t="str">
        <x:v>Y</x:v>
      </x:c>
    </x:row>
    <x:row r="13">
      <x:c r="A13" s="54" t="n">
        <x:v>1</x:v>
      </x:c>
      <x:c r="B13" s="55" t="n">
        <x:v>2</x:v>
      </x:c>
      <x:c r="C13" s="55" t="str">
        <x:v>CIS</x:v>
      </x:c>
      <x:c r="D13" s="55" t="n">
        <x:v>0</x:v>
      </x:c>
      <x:c r="E13" s="55" t="n">
        <x:v>50</x:v>
      </x:c>
      <x:c r="F13" s="55" t="n">
        <x:v>32</x:v>
      </x:c>
      <x:c r="G13" s="108" t="n">
        <x:v>500</x:v>
      </x:c>
      <x:c r="H13" s="108" t="n">
        <x:v>1500</x:v>
      </x:c>
      <x:c r="I13" s="108" t="n">
        <x:v>8</x:v>
      </x:c>
      <x:c r="J13" s="108" t="n">
        <x:v>21892</x:v>
      </x:c>
      <x:c r="K13" s="55" t="n">
        <x:v>2</x:v>
      </x:c>
      <x:c r="L13" s="55" t="n">
        <x:v>2</x:v>
      </x:c>
      <x:c r="M13" s="102" t="n">
        <x:v>0</x:v>
      </x:c>
      <x:c r="N13" s="102" t="n">
        <x:v>211</x:v>
      </x:c>
      <x:c r="O13" s="102" t="n">
        <x:v>12</x:v>
      </x:c>
      <x:c r="P13" s="56" t="str">
        <x:v>Y</x:v>
      </x:c>
    </x:row>
    <x:row r="14">
      <x:c r="A14" s="54" t="n">
        <x:v>1</x:v>
      </x:c>
      <x:c r="B14" s="55" t="n">
        <x:v>3</x:v>
      </x:c>
      <x:c r="C14" s="55" t="str">
        <x:v>CIS</x:v>
      </x:c>
      <x:c r="D14" s="55" t="n">
        <x:v>0</x:v>
      </x:c>
      <x:c r="E14" s="55" t="n">
        <x:v>50</x:v>
      </x:c>
      <x:c r="F14" s="55" t="n">
        <x:v>32</x:v>
      </x:c>
      <x:c r="G14" s="108" t="n">
        <x:v>500</x:v>
      </x:c>
      <x:c r="H14" s="108" t="n">
        <x:v>1500</x:v>
      </x:c>
      <x:c r="I14" s="108" t="n">
        <x:v>8</x:v>
      </x:c>
      <x:c r="J14" s="108" t="n">
        <x:v>21892</x:v>
      </x:c>
      <x:c r="K14" s="55" t="n">
        <x:v>3</x:v>
      </x:c>
      <x:c r="L14" s="55" t="n">
        <x:v>3</x:v>
      </x:c>
      <x:c r="M14" s="102" t="n">
        <x:v>0</x:v>
      </x:c>
      <x:c r="N14" s="102" t="n">
        <x:v>211</x:v>
      </x:c>
      <x:c r="O14" s="102" t="n">
        <x:v>11</x:v>
      </x:c>
      <x:c r="P14" s="56" t="str">
        <x:v>Y</x:v>
      </x:c>
    </x:row>
    <x:row r="15">
      <x:c r="A15" s="54" t="n">
        <x:v>1</x:v>
      </x:c>
      <x:c r="B15" s="55" t="n">
        <x:v>4</x:v>
      </x:c>
      <x:c r="C15" s="55" t="str">
        <x:v>CIS</x:v>
      </x:c>
      <x:c r="D15" s="55" t="n">
        <x:v>0</x:v>
      </x:c>
      <x:c r="E15" s="55" t="n">
        <x:v>50</x:v>
      </x:c>
      <x:c r="F15" s="55" t="n">
        <x:v>32</x:v>
      </x:c>
      <x:c r="G15" s="108" t="n">
        <x:v>500</x:v>
      </x:c>
      <x:c r="H15" s="108" t="n">
        <x:v>1500</x:v>
      </x:c>
      <x:c r="I15" s="108" t="n">
        <x:v>8</x:v>
      </x:c>
      <x:c r="J15" s="108" t="n">
        <x:v>21892</x:v>
      </x:c>
      <x:c r="K15" s="55" t="n">
        <x:v>4</x:v>
      </x:c>
      <x:c r="L15" s="55" t="n">
        <x:v>4</x:v>
      </x:c>
      <x:c r="M15" s="102" t="n">
        <x:v>0</x:v>
      </x:c>
      <x:c r="N15" s="102" t="n">
        <x:v>211</x:v>
      </x:c>
      <x:c r="O15" s="102" t="n">
        <x:v>9</x:v>
      </x:c>
      <x:c r="P15" s="56" t="str">
        <x:v>Y</x:v>
      </x:c>
    </x:row>
    <x:row r="16">
      <x:c r="A16" s="54" t="n">
        <x:v>1</x:v>
      </x:c>
      <x:c r="B16" s="55" t="n">
        <x:v>5</x:v>
      </x:c>
      <x:c r="C16" s="55" t="str">
        <x:v>CIS</x:v>
      </x:c>
      <x:c r="D16" s="55" t="n">
        <x:v>0</x:v>
      </x:c>
      <x:c r="E16" s="55" t="n">
        <x:v>50</x:v>
      </x:c>
      <x:c r="F16" s="55" t="n">
        <x:v>32</x:v>
      </x:c>
      <x:c r="G16" s="108" t="n">
        <x:v>500</x:v>
      </x:c>
      <x:c r="H16" s="108" t="n">
        <x:v>1500</x:v>
      </x:c>
      <x:c r="I16" s="108" t="n">
        <x:v>8</x:v>
      </x:c>
      <x:c r="J16" s="108" t="n">
        <x:v>21892</x:v>
      </x:c>
      <x:c r="K16" s="55" t="n">
        <x:v>5</x:v>
      </x:c>
      <x:c r="L16" s="55" t="n">
        <x:v>5</x:v>
      </x:c>
      <x:c r="M16" s="102" t="n">
        <x:v>0</x:v>
      </x:c>
      <x:c r="N16" s="102" t="n">
        <x:v>211</x:v>
      </x:c>
      <x:c r="O16" s="102" t="n">
        <x:v>7</x:v>
      </x:c>
      <x:c r="P16" s="56" t="str">
        <x:v>Y</x:v>
      </x:c>
    </x:row>
    <x:row r="17">
      <x:c r="A17" s="54" t="n">
        <x:v>1</x:v>
      </x:c>
      <x:c r="B17" s="55" t="n">
        <x:v>6</x:v>
      </x:c>
      <x:c r="C17" s="55" t="str">
        <x:v>CIS</x:v>
      </x:c>
      <x:c r="D17" s="55" t="n">
        <x:v>0</x:v>
      </x:c>
      <x:c r="E17" s="55" t="n">
        <x:v>50</x:v>
      </x:c>
      <x:c r="F17" s="55" t="n">
        <x:v>32</x:v>
      </x:c>
      <x:c r="G17" s="108" t="n">
        <x:v>500</x:v>
      </x:c>
      <x:c r="H17" s="108" t="n">
        <x:v>1500</x:v>
      </x:c>
      <x:c r="I17" s="108" t="n">
        <x:v>8</x:v>
      </x:c>
      <x:c r="J17" s="108" t="n">
        <x:v>21892</x:v>
      </x:c>
      <x:c r="K17" s="55" t="n">
        <x:v>6</x:v>
      </x:c>
      <x:c r="L17" s="55" t="n">
        <x:v>6</x:v>
      </x:c>
      <x:c r="M17" s="102" t="n">
        <x:v>0</x:v>
      </x:c>
      <x:c r="N17" s="102" t="n">
        <x:v>211</x:v>
      </x:c>
      <x:c r="O17" s="102" t="n">
        <x:v>5</x:v>
      </x:c>
      <x:c r="P17" s="56" t="str">
        <x:v>Y</x:v>
      </x:c>
    </x:row>
    <x:row r="18">
      <x:c r="A18" s="54" t="n">
        <x:v>1</x:v>
      </x:c>
      <x:c r="B18" s="55" t="n">
        <x:v>7</x:v>
      </x:c>
      <x:c r="C18" s="55" t="str">
        <x:v>CIS</x:v>
      </x:c>
      <x:c r="D18" s="55" t="n">
        <x:v>0</x:v>
      </x:c>
      <x:c r="E18" s="55" t="n">
        <x:v>50</x:v>
      </x:c>
      <x:c r="F18" s="55" t="n">
        <x:v>32</x:v>
      </x:c>
      <x:c r="G18" s="108" t="n">
        <x:v>500</x:v>
      </x:c>
      <x:c r="H18" s="108" t="n">
        <x:v>1500</x:v>
      </x:c>
      <x:c r="I18" s="108" t="n">
        <x:v>8</x:v>
      </x:c>
      <x:c r="J18" s="108" t="n">
        <x:v>21892</x:v>
      </x:c>
      <x:c r="K18" s="55" t="n">
        <x:v>7</x:v>
      </x:c>
      <x:c r="L18" s="55" t="n">
        <x:v>7</x:v>
      </x:c>
      <x:c r="M18" s="102" t="n">
        <x:v>0</x:v>
      </x:c>
      <x:c r="N18" s="102" t="n">
        <x:v>211</x:v>
      </x:c>
      <x:c r="O18" s="102" t="n">
        <x:v>3</x:v>
      </x:c>
      <x:c r="P18" s="56" t="str">
        <x:v>Y</x:v>
      </x:c>
    </x:row>
    <x:row r="19">
      <x:c r="A19" s="54" t="n">
        <x:v>1</x:v>
      </x:c>
      <x:c r="B19" s="55" t="n">
        <x:v>8</x:v>
      </x:c>
      <x:c r="C19" s="55" t="str">
        <x:v>CIS</x:v>
      </x:c>
      <x:c r="D19" s="55" t="n">
        <x:v>0</x:v>
      </x:c>
      <x:c r="E19" s="55" t="n">
        <x:v>50</x:v>
      </x:c>
      <x:c r="F19" s="55" t="n">
        <x:v>32</x:v>
      </x:c>
      <x:c r="G19" s="108" t="n">
        <x:v>500</x:v>
      </x:c>
      <x:c r="H19" s="108" t="n">
        <x:v>1500</x:v>
      </x:c>
      <x:c r="I19" s="108" t="n">
        <x:v>8</x:v>
      </x:c>
      <x:c r="J19" s="108" t="n">
        <x:v>21892</x:v>
      </x:c>
      <x:c r="K19" s="55" t="n">
        <x:v>8</x:v>
      </x:c>
      <x:c r="L19" s="55" t="n">
        <x:v>8</x:v>
      </x:c>
      <x:c r="M19" s="102" t="n">
        <x:v>0</x:v>
      </x:c>
      <x:c r="N19" s="102" t="n">
        <x:v>211</x:v>
      </x:c>
      <x:c r="O19" s="102" t="n">
        <x:v>1</x:v>
      </x:c>
      <x:c r="P19" s="56" t="str">
        <x:v>Y</x:v>
      </x:c>
    </x:row>
    <x:row r="20">
      <x:c r="A20" s="54" t="n">
        <x:v>1</x:v>
      </x:c>
      <x:c r="B20" s="55" t="n">
        <x:v>9</x:v>
      </x:c>
      <x:c r="C20" s="55" t="str">
        <x:v>CIS</x:v>
      </x:c>
      <x:c r="D20" s="55" t="n">
        <x:v>0</x:v>
      </x:c>
      <x:c r="E20" s="55" t="n">
        <x:v>50</x:v>
      </x:c>
      <x:c r="F20" s="55" t="n">
        <x:v>32</x:v>
      </x:c>
      <x:c r="G20" s="108" t="n">
        <x:v>500</x:v>
      </x:c>
      <x:c r="H20" s="108" t="n">
        <x:v>1500</x:v>
      </x:c>
      <x:c r="I20" s="108" t="n">
        <x:v>8</x:v>
      </x:c>
      <x:c r="J20" s="108" t="n">
        <x:v>21892</x:v>
      </x:c>
      <x:c r="K20" s="55" t="n">
        <x:v>9</x:v>
      </x:c>
      <x:c r="L20" s="55" t="n">
        <x:v>9</x:v>
      </x:c>
      <x:c r="M20" s="102" t="n">
        <x:v>0</x:v>
      </x:c>
      <x:c r="N20" s="102" t="n">
        <x:v>211</x:v>
      </x:c>
      <x:c r="O20" s="102" t="n">
        <x:v>0</x:v>
      </x:c>
      <x:c r="P20" s="56" t="str">
        <x:v>Y</x:v>
      </x:c>
    </x:row>
    <x:row r="21">
      <x:c r="A21" s="54" t="n">
        <x:v>1</x:v>
      </x:c>
      <x:c r="B21" s="55" t="n">
        <x:v>10</x:v>
      </x:c>
      <x:c r="C21" s="55" t="str">
        <x:v>CIS</x:v>
      </x:c>
      <x:c r="D21" s="55" t="n">
        <x:v>0</x:v>
      </x:c>
      <x:c r="E21" s="55" t="n">
        <x:v>50</x:v>
      </x:c>
      <x:c r="F21" s="55" t="n">
        <x:v>32</x:v>
      </x:c>
      <x:c r="G21" s="108" t="n">
        <x:v>500</x:v>
      </x:c>
      <x:c r="H21" s="108" t="n">
        <x:v>1500</x:v>
      </x:c>
      <x:c r="I21" s="108" t="n">
        <x:v>8</x:v>
      </x:c>
      <x:c r="J21" s="108" t="n">
        <x:v>21892</x:v>
      </x:c>
      <x:c r="K21" s="55" t="n">
        <x:v>10</x:v>
      </x:c>
      <x:c r="L21" s="55" t="n">
        <x:v>10</x:v>
      </x:c>
      <x:c r="M21" s="102" t="n">
        <x:v>0</x:v>
      </x:c>
      <x:c r="N21" s="102" t="n">
        <x:v>211</x:v>
      </x:c>
      <x:c r="O21" s="102" t="n">
        <x:v>2</x:v>
      </x:c>
      <x:c r="P21" s="56" t="str">
        <x:v>Y</x:v>
      </x:c>
    </x:row>
    <x:row r="22">
      <x:c r="A22" s="54" t="n">
        <x:v>1</x:v>
      </x:c>
      <x:c r="B22" s="55" t="n">
        <x:v>11</x:v>
      </x:c>
      <x:c r="C22" s="55" t="str">
        <x:v>CIS</x:v>
      </x:c>
      <x:c r="D22" s="55" t="n">
        <x:v>0</x:v>
      </x:c>
      <x:c r="E22" s="55" t="n">
        <x:v>50</x:v>
      </x:c>
      <x:c r="F22" s="55" t="n">
        <x:v>32</x:v>
      </x:c>
      <x:c r="G22" s="108" t="n">
        <x:v>500</x:v>
      </x:c>
      <x:c r="H22" s="108" t="n">
        <x:v>1500</x:v>
      </x:c>
      <x:c r="I22" s="108" t="n">
        <x:v>8</x:v>
      </x:c>
      <x:c r="J22" s="108" t="n">
        <x:v>21892</x:v>
      </x:c>
      <x:c r="K22" s="55" t="n">
        <x:v>11</x:v>
      </x:c>
      <x:c r="L22" s="55" t="n">
        <x:v>11</x:v>
      </x:c>
      <x:c r="M22" s="102" t="n">
        <x:v>0</x:v>
      </x:c>
      <x:c r="N22" s="102" t="n">
        <x:v>211</x:v>
      </x:c>
      <x:c r="O22" s="102" t="n">
        <x:v>4</x:v>
      </x:c>
      <x:c r="P22" s="56" t="str">
        <x:v>Y</x:v>
      </x:c>
    </x:row>
    <x:row r="23">
      <x:c r="A23" s="54" t="n">
        <x:v>1</x:v>
      </x:c>
      <x:c r="B23" s="55" t="n">
        <x:v>12</x:v>
      </x:c>
      <x:c r="C23" s="55" t="str">
        <x:v>CIS</x:v>
      </x:c>
      <x:c r="D23" s="55" t="n">
        <x:v>0</x:v>
      </x:c>
      <x:c r="E23" s="55" t="n">
        <x:v>50</x:v>
      </x:c>
      <x:c r="F23" s="55" t="n">
        <x:v>32</x:v>
      </x:c>
      <x:c r="G23" s="108" t="n">
        <x:v>500</x:v>
      </x:c>
      <x:c r="H23" s="108" t="n">
        <x:v>1500</x:v>
      </x:c>
      <x:c r="I23" s="108" t="n">
        <x:v>8</x:v>
      </x:c>
      <x:c r="J23" s="108" t="n">
        <x:v>21892</x:v>
      </x:c>
      <x:c r="K23" s="55" t="n">
        <x:v>12</x:v>
      </x:c>
      <x:c r="L23" s="55" t="n">
        <x:v>12</x:v>
      </x:c>
      <x:c r="M23" s="102" t="n">
        <x:v>0</x:v>
      </x:c>
      <x:c r="N23" s="102" t="n">
        <x:v>211</x:v>
      </x:c>
      <x:c r="O23" s="102" t="n">
        <x:v>6</x:v>
      </x:c>
      <x:c r="P23" s="56" t="str">
        <x:v>Y</x:v>
      </x:c>
    </x:row>
    <x:row r="24">
      <x:c r="A24" s="54" t="n">
        <x:v>1</x:v>
      </x:c>
      <x:c r="B24" s="55" t="n">
        <x:v>13</x:v>
      </x:c>
      <x:c r="C24" s="55" t="str">
        <x:v>CIS</x:v>
      </x:c>
      <x:c r="D24" s="55" t="n">
        <x:v>0</x:v>
      </x:c>
      <x:c r="E24" s="55" t="n">
        <x:v>50</x:v>
      </x:c>
      <x:c r="F24" s="55" t="n">
        <x:v>32</x:v>
      </x:c>
      <x:c r="G24" s="108" t="n">
        <x:v>500</x:v>
      </x:c>
      <x:c r="H24" s="108" t="n">
        <x:v>1500</x:v>
      </x:c>
      <x:c r="I24" s="108" t="n">
        <x:v>8</x:v>
      </x:c>
      <x:c r="J24" s="108" t="n">
        <x:v>21892</x:v>
      </x:c>
      <x:c r="K24" s="55" t="n">
        <x:v>13</x:v>
      </x:c>
      <x:c r="L24" s="55" t="n">
        <x:v>13</x:v>
      </x:c>
      <x:c r="M24" s="102" t="n">
        <x:v>0</x:v>
      </x:c>
      <x:c r="N24" s="102" t="n">
        <x:v>211</x:v>
      </x:c>
      <x:c r="O24" s="102" t="n">
        <x:v>8</x:v>
      </x:c>
      <x:c r="P24" s="56" t="str">
        <x:v>Y</x:v>
      </x:c>
    </x:row>
    <x:row r="25">
      <x:c r="A25" s="54" t="n">
        <x:v>1</x:v>
      </x:c>
      <x:c r="B25" s="55" t="n">
        <x:v>14</x:v>
      </x:c>
      <x:c r="C25" s="55" t="str">
        <x:v>CIS</x:v>
      </x:c>
      <x:c r="D25" s="55" t="n">
        <x:v>0</x:v>
      </x:c>
      <x:c r="E25" s="55" t="n">
        <x:v>50</x:v>
      </x:c>
      <x:c r="F25" s="55" t="n">
        <x:v>32</x:v>
      </x:c>
      <x:c r="G25" s="108" t="n">
        <x:v>500</x:v>
      </x:c>
      <x:c r="H25" s="108" t="n">
        <x:v>1500</x:v>
      </x:c>
      <x:c r="I25" s="108" t="n">
        <x:v>8</x:v>
      </x:c>
      <x:c r="J25" s="108" t="n">
        <x:v>21892</x:v>
      </x:c>
      <x:c r="K25" s="55" t="n">
        <x:v>14</x:v>
      </x:c>
      <x:c r="L25" s="55" t="n">
        <x:v>14</x:v>
      </x:c>
      <x:c r="M25" s="102" t="n">
        <x:v>0</x:v>
      </x:c>
      <x:c r="N25" s="102" t="n">
        <x:v>211</x:v>
      </x:c>
      <x:c r="O25" s="102" t="n">
        <x:v>10</x:v>
      </x:c>
      <x:c r="P25" s="56" t="str">
        <x:v>Y</x:v>
      </x:c>
    </x:row>
    <x:row r="26">
      <x:c r="A26" s="54" t="n">
        <x:v>1</x:v>
      </x:c>
      <x:c r="B26" s="55" t="n">
        <x:v>15</x:v>
      </x:c>
      <x:c r="C26" s="55" t="str">
        <x:v>CIS</x:v>
      </x:c>
      <x:c r="D26" s="55" t="n">
        <x:v>0</x:v>
      </x:c>
      <x:c r="E26" s="55" t="n">
        <x:v>50</x:v>
      </x:c>
      <x:c r="F26" s="55" t="n">
        <x:v>32</x:v>
      </x:c>
      <x:c r="G26" s="108" t="n">
        <x:v>500</x:v>
      </x:c>
      <x:c r="H26" s="108" t="n">
        <x:v>1500</x:v>
      </x:c>
      <x:c r="I26" s="108" t="n">
        <x:v>8</x:v>
      </x:c>
      <x:c r="J26" s="108" t="n">
        <x:v>21892</x:v>
      </x:c>
      <x:c r="K26" s="55" t="n">
        <x:v>15</x:v>
      </x:c>
      <x:c r="L26" s="55" t="n">
        <x:v>15</x:v>
      </x:c>
      <x:c r="M26" s="102" t="n">
        <x:v>0</x:v>
      </x:c>
      <x:c r="N26" s="102" t="n">
        <x:v>211</x:v>
      </x:c>
      <x:c r="O26" s="102" t="n">
        <x:v>13</x:v>
      </x:c>
      <x:c r="P26" s="56" t="str">
        <x:v>Y</x:v>
      </x:c>
    </x:row>
    <x:row r="27">
      <x:c r="A27" s="54" t="n">
        <x:v>1</x:v>
      </x:c>
      <x:c r="B27" s="55" t="n">
        <x:v>16</x:v>
      </x:c>
      <x:c r="C27" s="55" t="str">
        <x:v>CIS</x:v>
      </x:c>
      <x:c r="D27" s="55" t="n">
        <x:v>0</x:v>
      </x:c>
      <x:c r="E27" s="55" t="n">
        <x:v>50</x:v>
      </x:c>
      <x:c r="F27" s="55" t="n">
        <x:v>32</x:v>
      </x:c>
      <x:c r="G27" s="108" t="n">
        <x:v>1500</x:v>
      </x:c>
      <x:c r="H27" s="108" t="n">
        <x:v>1500</x:v>
      </x:c>
      <x:c r="I27" s="108" t="n">
        <x:v>8</x:v>
      </x:c>
      <x:c r="J27" s="108" t="n">
        <x:v>21892</x:v>
      </x:c>
      <x:c r="K27" s="55" t="n">
        <x:v>16</x:v>
      </x:c>
      <x:c r="L27" s="55" t="n">
        <x:v>16</x:v>
      </x:c>
      <x:c r="M27" s="102" t="n">
        <x:v>211</x:v>
      </x:c>
      <x:c r="N27" s="102" t="n">
        <x:v>211</x:v>
      </x:c>
      <x:c r="O27" s="102" t="n">
        <x:v>15</x:v>
      </x:c>
      <x:c r="P27" s="56" t="str">
        <x:v>Y</x:v>
      </x:c>
    </x:row>
    <x:row r="28">
      <x:c r="A28" s="54" t="n">
        <x:v>1</x:v>
      </x:c>
      <x:c r="B28" s="55" t="n">
        <x:v>17</x:v>
      </x:c>
      <x:c r="C28" s="55" t="str">
        <x:v>CIS</x:v>
      </x:c>
      <x:c r="D28" s="55" t="n">
        <x:v>0</x:v>
      </x:c>
      <x:c r="E28" s="55" t="n">
        <x:v>50</x:v>
      </x:c>
      <x:c r="F28" s="55" t="n">
        <x:v>32</x:v>
      </x:c>
      <x:c r="G28" s="108" t="n">
        <x:v>500</x:v>
      </x:c>
      <x:c r="H28" s="108" t="n">
        <x:v>1500</x:v>
      </x:c>
      <x:c r="I28" s="108" t="n">
        <x:v>8</x:v>
      </x:c>
      <x:c r="J28" s="108" t="n">
        <x:v>21892</x:v>
      </x:c>
      <x:c r="K28" s="55" t="n">
        <x:v>17</x:v>
      </x:c>
      <x:c r="L28" s="55" t="n">
        <x:v>17</x:v>
      </x:c>
      <x:c r="M28" s="102" t="n">
        <x:v>0</x:v>
      </x:c>
      <x:c r="N28" s="102" t="n">
        <x:v>211</x:v>
      </x:c>
      <x:c r="O28" s="102" t="n">
        <x:v>17</x:v>
      </x:c>
      <x:c r="P28" s="56" t="str">
        <x:v>Y</x:v>
      </x:c>
    </x:row>
    <x:row r="29">
      <x:c r="A29" s="54" t="n">
        <x:v>1</x:v>
      </x:c>
      <x:c r="B29" s="55" t="n">
        <x:v>18</x:v>
      </x:c>
      <x:c r="C29" s="55" t="str">
        <x:v>CIS</x:v>
      </x:c>
      <x:c r="D29" s="55" t="n">
        <x:v>0</x:v>
      </x:c>
      <x:c r="E29" s="55" t="n">
        <x:v>50</x:v>
      </x:c>
      <x:c r="F29" s="55" t="n">
        <x:v>32</x:v>
      </x:c>
      <x:c r="G29" s="108" t="n">
        <x:v>500</x:v>
      </x:c>
      <x:c r="H29" s="108" t="n">
        <x:v>1500</x:v>
      </x:c>
      <x:c r="I29" s="108" t="n">
        <x:v>8</x:v>
      </x:c>
      <x:c r="J29" s="108" t="n">
        <x:v>21892</x:v>
      </x:c>
      <x:c r="K29" s="55" t="n">
        <x:v>18</x:v>
      </x:c>
      <x:c r="L29" s="55" t="n">
        <x:v>18</x:v>
      </x:c>
      <x:c r="M29" s="102" t="n">
        <x:v>0</x:v>
      </x:c>
      <x:c r="N29" s="102" t="n">
        <x:v>211</x:v>
      </x:c>
      <x:c r="O29" s="102" t="n">
        <x:v>18</x:v>
      </x:c>
      <x:c r="P29" s="56" t="str">
        <x:v>Y</x:v>
      </x:c>
    </x:row>
    <x:row r="30">
      <x:c r="A30" s="54" t="n">
        <x:v>1</x:v>
      </x:c>
      <x:c r="B30" s="55" t="n">
        <x:v>19</x:v>
      </x:c>
      <x:c r="C30" s="55" t="str">
        <x:v>CIS</x:v>
      </x:c>
      <x:c r="D30" s="55" t="n">
        <x:v>0</x:v>
      </x:c>
      <x:c r="E30" s="55" t="n">
        <x:v>50</x:v>
      </x:c>
      <x:c r="F30" s="55" t="n">
        <x:v>32</x:v>
      </x:c>
      <x:c r="G30" s="108" t="n">
        <x:v>500</x:v>
      </x:c>
      <x:c r="H30" s="108" t="n">
        <x:v>1500</x:v>
      </x:c>
      <x:c r="I30" s="108" t="n">
        <x:v>8</x:v>
      </x:c>
      <x:c r="J30" s="108" t="n">
        <x:v>21892</x:v>
      </x:c>
      <x:c r="K30" s="55" t="n">
        <x:v>19</x:v>
      </x:c>
      <x:c r="L30" s="55" t="n">
        <x:v>19</x:v>
      </x:c>
      <x:c r="M30" s="102" t="n">
        <x:v>0</x:v>
      </x:c>
      <x:c r="N30" s="102" t="n">
        <x:v>211</x:v>
      </x:c>
      <x:c r="O30" s="102" t="n">
        <x:v>20</x:v>
      </x:c>
      <x:c r="P30" s="56" t="str">
        <x:v>Y</x:v>
      </x:c>
    </x:row>
    <x:row r="31">
      <x:c r="A31" s="54" t="n">
        <x:v>1</x:v>
      </x:c>
      <x:c r="B31" s="55" t="n">
        <x:v>20</x:v>
      </x:c>
      <x:c r="C31" s="55" t="str">
        <x:v>CIS</x:v>
      </x:c>
      <x:c r="D31" s="55" t="n">
        <x:v>0</x:v>
      </x:c>
      <x:c r="E31" s="55" t="n">
        <x:v>50</x:v>
      </x:c>
      <x:c r="F31" s="55" t="n">
        <x:v>32</x:v>
      </x:c>
      <x:c r="G31" s="108" t="n">
        <x:v>500</x:v>
      </x:c>
      <x:c r="H31" s="108" t="n">
        <x:v>1500</x:v>
      </x:c>
      <x:c r="I31" s="108" t="n">
        <x:v>8</x:v>
      </x:c>
      <x:c r="J31" s="108" t="n">
        <x:v>21892</x:v>
      </x:c>
      <x:c r="K31" s="55" t="n">
        <x:v>20</x:v>
      </x:c>
      <x:c r="L31" s="55" t="n">
        <x:v>20</x:v>
      </x:c>
      <x:c r="M31" s="102" t="n">
        <x:v>0</x:v>
      </x:c>
      <x:c r="N31" s="102" t="n">
        <x:v>211</x:v>
      </x:c>
      <x:c r="O31" s="102" t="n">
        <x:v>22</x:v>
      </x:c>
      <x:c r="P31" s="56" t="str">
        <x:v>Y</x:v>
      </x:c>
    </x:row>
    <x:row r="32">
      <x:c r="A32" s="54" t="n">
        <x:v>1</x:v>
      </x:c>
      <x:c r="B32" s="55" t="n">
        <x:v>21</x:v>
      </x:c>
      <x:c r="C32" s="55" t="str">
        <x:v>CIS</x:v>
      </x:c>
      <x:c r="D32" s="55" t="n">
        <x:v>0</x:v>
      </x:c>
      <x:c r="E32" s="55" t="n">
        <x:v>50</x:v>
      </x:c>
      <x:c r="F32" s="55" t="n">
        <x:v>32</x:v>
      </x:c>
      <x:c r="G32" s="108" t="n">
        <x:v>500</x:v>
      </x:c>
      <x:c r="H32" s="108" t="n">
        <x:v>1500</x:v>
      </x:c>
      <x:c r="I32" s="108" t="n">
        <x:v>8</x:v>
      </x:c>
      <x:c r="J32" s="108" t="n">
        <x:v>21892</x:v>
      </x:c>
      <x:c r="K32" s="55" t="n">
        <x:v>21</x:v>
      </x:c>
      <x:c r="L32" s="55" t="n">
        <x:v>21</x:v>
      </x:c>
      <x:c r="M32" s="102" t="n">
        <x:v>0</x:v>
      </x:c>
      <x:c r="N32" s="102" t="n">
        <x:v>211</x:v>
      </x:c>
      <x:c r="O32" s="102" t="n">
        <x:v>24</x:v>
      </x:c>
      <x:c r="P32" s="56" t="str">
        <x:v>Y</x:v>
      </x:c>
    </x:row>
    <x:row r="33">
      <x:c r="A33" s="54" t="n">
        <x:v>1</x:v>
      </x:c>
      <x:c r="B33" s="55" t="n">
        <x:v>22</x:v>
      </x:c>
      <x:c r="C33" s="55" t="str">
        <x:v>CIS</x:v>
      </x:c>
      <x:c r="D33" s="55" t="n">
        <x:v>0</x:v>
      </x:c>
      <x:c r="E33" s="55" t="n">
        <x:v>50</x:v>
      </x:c>
      <x:c r="F33" s="55" t="n">
        <x:v>32</x:v>
      </x:c>
      <x:c r="G33" s="108" t="n">
        <x:v>500</x:v>
      </x:c>
      <x:c r="H33" s="108" t="n">
        <x:v>1500</x:v>
      </x:c>
      <x:c r="I33" s="108" t="n">
        <x:v>8</x:v>
      </x:c>
      <x:c r="J33" s="108" t="n">
        <x:v>21892</x:v>
      </x:c>
      <x:c r="K33" s="55" t="n">
        <x:v>22</x:v>
      </x:c>
      <x:c r="L33" s="55" t="n">
        <x:v>22</x:v>
      </x:c>
      <x:c r="M33" s="102" t="n">
        <x:v>0</x:v>
      </x:c>
      <x:c r="N33" s="102" t="n">
        <x:v>211</x:v>
      </x:c>
      <x:c r="O33" s="102" t="n">
        <x:v>26</x:v>
      </x:c>
      <x:c r="P33" s="56" t="str">
        <x:v>Y</x:v>
      </x:c>
    </x:row>
    <x:row r="34">
      <x:c r="A34" s="54" t="n">
        <x:v>1</x:v>
      </x:c>
      <x:c r="B34" s="55" t="n">
        <x:v>23</x:v>
      </x:c>
      <x:c r="C34" s="55" t="str">
        <x:v>CIS</x:v>
      </x:c>
      <x:c r="D34" s="55" t="n">
        <x:v>0</x:v>
      </x:c>
      <x:c r="E34" s="55" t="n">
        <x:v>50</x:v>
      </x:c>
      <x:c r="F34" s="55" t="n">
        <x:v>32</x:v>
      </x:c>
      <x:c r="G34" s="108" t="n">
        <x:v>500</x:v>
      </x:c>
      <x:c r="H34" s="108" t="n">
        <x:v>1500</x:v>
      </x:c>
      <x:c r="I34" s="108" t="n">
        <x:v>8</x:v>
      </x:c>
      <x:c r="J34" s="108" t="n">
        <x:v>21892</x:v>
      </x:c>
      <x:c r="K34" s="55" t="n">
        <x:v>23</x:v>
      </x:c>
      <x:c r="L34" s="55" t="n">
        <x:v>23</x:v>
      </x:c>
      <x:c r="M34" s="102" t="n">
        <x:v>0</x:v>
      </x:c>
      <x:c r="N34" s="102" t="n">
        <x:v>211</x:v>
      </x:c>
      <x:c r="O34" s="102" t="n">
        <x:v>28</x:v>
      </x:c>
      <x:c r="P34" s="56" t="str">
        <x:v>Y</x:v>
      </x:c>
    </x:row>
    <x:row r="35">
      <x:c r="A35" s="54" t="n">
        <x:v>1</x:v>
      </x:c>
      <x:c r="B35" s="55" t="n">
        <x:v>24</x:v>
      </x:c>
      <x:c r="C35" s="55" t="str">
        <x:v>CIS</x:v>
      </x:c>
      <x:c r="D35" s="55" t="n">
        <x:v>0</x:v>
      </x:c>
      <x:c r="E35" s="55" t="n">
        <x:v>50</x:v>
      </x:c>
      <x:c r="F35" s="55" t="n">
        <x:v>32</x:v>
      </x:c>
      <x:c r="G35" s="108" t="n">
        <x:v>500</x:v>
      </x:c>
      <x:c r="H35" s="108" t="n">
        <x:v>1500</x:v>
      </x:c>
      <x:c r="I35" s="108" t="n">
        <x:v>8</x:v>
      </x:c>
      <x:c r="J35" s="108" t="n">
        <x:v>21892</x:v>
      </x:c>
      <x:c r="K35" s="55" t="n">
        <x:v>24</x:v>
      </x:c>
      <x:c r="L35" s="55" t="n">
        <x:v>24</x:v>
      </x:c>
      <x:c r="M35" s="102" t="n">
        <x:v>0</x:v>
      </x:c>
      <x:c r="N35" s="102" t="n">
        <x:v>211</x:v>
      </x:c>
      <x:c r="O35" s="102" t="n">
        <x:v>30</x:v>
      </x:c>
      <x:c r="P35" s="56" t="str">
        <x:v>Y</x:v>
      </x:c>
    </x:row>
    <x:row r="36">
      <x:c r="A36" s="54" t="n">
        <x:v>1</x:v>
      </x:c>
      <x:c r="B36" s="55" t="n">
        <x:v>25</x:v>
      </x:c>
      <x:c r="C36" s="55" t="str">
        <x:v>CIS</x:v>
      </x:c>
      <x:c r="D36" s="55" t="n">
        <x:v>0</x:v>
      </x:c>
      <x:c r="E36" s="55" t="n">
        <x:v>50</x:v>
      </x:c>
      <x:c r="F36" s="55" t="n">
        <x:v>32</x:v>
      </x:c>
      <x:c r="G36" s="108" t="n">
        <x:v>500</x:v>
      </x:c>
      <x:c r="H36" s="108" t="n">
        <x:v>1500</x:v>
      </x:c>
      <x:c r="I36" s="108" t="n">
        <x:v>8</x:v>
      </x:c>
      <x:c r="J36" s="108" t="n">
        <x:v>21892</x:v>
      </x:c>
      <x:c r="K36" s="55" t="n">
        <x:v>25</x:v>
      </x:c>
      <x:c r="L36" s="55" t="n">
        <x:v>25</x:v>
      </x:c>
      <x:c r="M36" s="102" t="n">
        <x:v>0</x:v>
      </x:c>
      <x:c r="N36" s="102" t="n">
        <x:v>211</x:v>
      </x:c>
      <x:c r="O36" s="102" t="n">
        <x:v>14</x:v>
      </x:c>
      <x:c r="P36" s="56" t="str">
        <x:v>Y</x:v>
      </x:c>
    </x:row>
    <x:row r="37">
      <x:c r="A37" s="54" t="n">
        <x:v>1</x:v>
      </x:c>
      <x:c r="B37" s="55" t="n">
        <x:v>26</x:v>
      </x:c>
      <x:c r="C37" s="55" t="str">
        <x:v>CIS</x:v>
      </x:c>
      <x:c r="D37" s="55" t="n">
        <x:v>0</x:v>
      </x:c>
      <x:c r="E37" s="55" t="n">
        <x:v>50</x:v>
      </x:c>
      <x:c r="F37" s="55" t="n">
        <x:v>32</x:v>
      </x:c>
      <x:c r="G37" s="108" t="n">
        <x:v>500</x:v>
      </x:c>
      <x:c r="H37" s="108" t="n">
        <x:v>1500</x:v>
      </x:c>
      <x:c r="I37" s="108" t="n">
        <x:v>8</x:v>
      </x:c>
      <x:c r="J37" s="108" t="n">
        <x:v>21892</x:v>
      </x:c>
      <x:c r="K37" s="55" t="n">
        <x:v>26</x:v>
      </x:c>
      <x:c r="L37" s="55" t="n">
        <x:v>26</x:v>
      </x:c>
      <x:c r="M37" s="102" t="n">
        <x:v>0</x:v>
      </x:c>
      <x:c r="N37" s="102" t="n">
        <x:v>211</x:v>
      </x:c>
      <x:c r="O37" s="102" t="n">
        <x:v>29</x:v>
      </x:c>
      <x:c r="P37" s="56" t="str">
        <x:v>Y</x:v>
      </x:c>
    </x:row>
    <x:row r="38">
      <x:c r="A38" s="54" t="n">
        <x:v>1</x:v>
      </x:c>
      <x:c r="B38" s="55" t="n">
        <x:v>27</x:v>
      </x:c>
      <x:c r="C38" s="55" t="str">
        <x:v>CIS</x:v>
      </x:c>
      <x:c r="D38" s="55" t="n">
        <x:v>0</x:v>
      </x:c>
      <x:c r="E38" s="55" t="n">
        <x:v>50</x:v>
      </x:c>
      <x:c r="F38" s="55" t="n">
        <x:v>32</x:v>
      </x:c>
      <x:c r="G38" s="108" t="n">
        <x:v>500</x:v>
      </x:c>
      <x:c r="H38" s="108" t="n">
        <x:v>1500</x:v>
      </x:c>
      <x:c r="I38" s="108" t="n">
        <x:v>8</x:v>
      </x:c>
      <x:c r="J38" s="108" t="n">
        <x:v>21892</x:v>
      </x:c>
      <x:c r="K38" s="55" t="n">
        <x:v>27</x:v>
      </x:c>
      <x:c r="L38" s="55" t="n">
        <x:v>27</x:v>
      </x:c>
      <x:c r="M38" s="102" t="n">
        <x:v>0</x:v>
      </x:c>
      <x:c r="N38" s="102" t="n">
        <x:v>211</x:v>
      </x:c>
      <x:c r="O38" s="102" t="n">
        <x:v>27</x:v>
      </x:c>
      <x:c r="P38" s="56" t="str">
        <x:v>Y</x:v>
      </x:c>
    </x:row>
    <x:row r="39">
      <x:c r="A39" s="54" t="n">
        <x:v>1</x:v>
      </x:c>
      <x:c r="B39" s="55" t="n">
        <x:v>28</x:v>
      </x:c>
      <x:c r="C39" s="55" t="str">
        <x:v>CIS</x:v>
      </x:c>
      <x:c r="D39" s="55" t="n">
        <x:v>0</x:v>
      </x:c>
      <x:c r="E39" s="55" t="n">
        <x:v>50</x:v>
      </x:c>
      <x:c r="F39" s="55" t="n">
        <x:v>32</x:v>
      </x:c>
      <x:c r="G39" s="108" t="n">
        <x:v>500</x:v>
      </x:c>
      <x:c r="H39" s="108" t="n">
        <x:v>1500</x:v>
      </x:c>
      <x:c r="I39" s="108" t="n">
        <x:v>8</x:v>
      </x:c>
      <x:c r="J39" s="108" t="n">
        <x:v>21892</x:v>
      </x:c>
      <x:c r="K39" s="55" t="n">
        <x:v>28</x:v>
      </x:c>
      <x:c r="L39" s="55" t="n">
        <x:v>28</x:v>
      </x:c>
      <x:c r="M39" s="102" t="n">
        <x:v>0</x:v>
      </x:c>
      <x:c r="N39" s="102" t="n">
        <x:v>211</x:v>
      </x:c>
      <x:c r="O39" s="102" t="n">
        <x:v>25</x:v>
      </x:c>
      <x:c r="P39" s="56" t="str">
        <x:v>Y</x:v>
      </x:c>
    </x:row>
    <x:row r="40">
      <x:c r="A40" s="54" t="n">
        <x:v>1</x:v>
      </x:c>
      <x:c r="B40" s="55" t="n">
        <x:v>29</x:v>
      </x:c>
      <x:c r="C40" s="55" t="str">
        <x:v>CIS</x:v>
      </x:c>
      <x:c r="D40" s="55" t="n">
        <x:v>0</x:v>
      </x:c>
      <x:c r="E40" s="55" t="n">
        <x:v>50</x:v>
      </x:c>
      <x:c r="F40" s="55" t="n">
        <x:v>32</x:v>
      </x:c>
      <x:c r="G40" s="108" t="n">
        <x:v>500</x:v>
      </x:c>
      <x:c r="H40" s="108" t="n">
        <x:v>1500</x:v>
      </x:c>
      <x:c r="I40" s="108" t="n">
        <x:v>8</x:v>
      </x:c>
      <x:c r="J40" s="108" t="n">
        <x:v>21892</x:v>
      </x:c>
      <x:c r="K40" s="55" t="n">
        <x:v>29</x:v>
      </x:c>
      <x:c r="L40" s="55" t="n">
        <x:v>29</x:v>
      </x:c>
      <x:c r="M40" s="102" t="n">
        <x:v>0</x:v>
      </x:c>
      <x:c r="N40" s="102" t="n">
        <x:v>211</x:v>
      </x:c>
      <x:c r="O40" s="102" t="n">
        <x:v>23</x:v>
      </x:c>
      <x:c r="P40" s="56" t="str">
        <x:v>Y</x:v>
      </x:c>
    </x:row>
    <x:row r="41">
      <x:c r="A41" s="54" t="n">
        <x:v>1</x:v>
      </x:c>
      <x:c r="B41" s="55" t="n">
        <x:v>30</x:v>
      </x:c>
      <x:c r="C41" s="55" t="str">
        <x:v>CIS</x:v>
      </x:c>
      <x:c r="D41" s="55" t="n">
        <x:v>0</x:v>
      </x:c>
      <x:c r="E41" s="55" t="n">
        <x:v>50</x:v>
      </x:c>
      <x:c r="F41" s="55" t="n">
        <x:v>32</x:v>
      </x:c>
      <x:c r="G41" s="108" t="n">
        <x:v>500</x:v>
      </x:c>
      <x:c r="H41" s="108" t="n">
        <x:v>1500</x:v>
      </x:c>
      <x:c r="I41" s="108" t="n">
        <x:v>8</x:v>
      </x:c>
      <x:c r="J41" s="108" t="n">
        <x:v>21892</x:v>
      </x:c>
      <x:c r="K41" s="55" t="n">
        <x:v>30</x:v>
      </x:c>
      <x:c r="L41" s="55" t="n">
        <x:v>30</x:v>
      </x:c>
      <x:c r="M41" s="102" t="n">
        <x:v>0</x:v>
      </x:c>
      <x:c r="N41" s="102" t="n">
        <x:v>211</x:v>
      </x:c>
      <x:c r="O41" s="102" t="n">
        <x:v>21</x:v>
      </x:c>
      <x:c r="P41" s="56" t="str">
        <x:v>Y</x:v>
      </x:c>
    </x:row>
    <x:row r="42">
      <x:c r="A42" s="54" t="n">
        <x:v>1</x:v>
      </x:c>
      <x:c r="B42" s="55" t="n">
        <x:v>31</x:v>
      </x:c>
      <x:c r="C42" s="55" t="str">
        <x:v>CIS</x:v>
      </x:c>
      <x:c r="D42" s="55" t="n">
        <x:v>0</x:v>
      </x:c>
      <x:c r="E42" s="55" t="n">
        <x:v>50</x:v>
      </x:c>
      <x:c r="F42" s="55" t="n">
        <x:v>32</x:v>
      </x:c>
      <x:c r="G42" s="108" t="n">
        <x:v>500</x:v>
      </x:c>
      <x:c r="H42" s="108" t="n">
        <x:v>1500</x:v>
      </x:c>
      <x:c r="I42" s="108" t="n">
        <x:v>8</x:v>
      </x:c>
      <x:c r="J42" s="108" t="n">
        <x:v>21892</x:v>
      </x:c>
      <x:c r="K42" s="55" t="n">
        <x:v>31</x:v>
      </x:c>
      <x:c r="L42" s="55" t="n">
        <x:v>31</x:v>
      </x:c>
      <x:c r="M42" s="102" t="n">
        <x:v>0</x:v>
      </x:c>
      <x:c r="N42" s="102" t="n">
        <x:v>211</x:v>
      </x:c>
      <x:c r="O42" s="102" t="n">
        <x:v>19</x:v>
      </x:c>
      <x:c r="P42" s="56" t="str">
        <x:v>Y</x:v>
      </x:c>
    </x:row>
    <x:row r="43">
      <x:c r="A43" s="54" t="n">
        <x:v>1</x:v>
      </x:c>
      <x:c r="B43" s="55" t="n">
        <x:v>32</x:v>
      </x:c>
      <x:c r="C43" s="55" t="str">
        <x:v>CIS</x:v>
      </x:c>
      <x:c r="D43" s="55" t="n">
        <x:v>0</x:v>
      </x:c>
      <x:c r="E43" s="55" t="n">
        <x:v>50</x:v>
      </x:c>
      <x:c r="F43" s="55" t="n">
        <x:v>32</x:v>
      </x:c>
      <x:c r="G43" s="108" t="n">
        <x:v>500</x:v>
      </x:c>
      <x:c r="H43" s="108" t="n">
        <x:v>1500</x:v>
      </x:c>
      <x:c r="I43" s="108" t="n">
        <x:v>8</x:v>
      </x:c>
      <x:c r="J43" s="108" t="n">
        <x:v>21892</x:v>
      </x:c>
      <x:c r="K43" s="55" t="n">
        <x:v>32</x:v>
      </x:c>
      <x:c r="L43" s="55" t="n">
        <x:v>32</x:v>
      </x:c>
      <x:c r="M43" s="102" t="n">
        <x:v>0</x:v>
      </x:c>
      <x:c r="N43" s="102" t="n">
        <x:v>211</x:v>
      </x:c>
      <x:c r="O43" s="102" t="n">
        <x:v>16</x:v>
      </x:c>
      <x:c r="P43" s="56" t="str">
        <x:v>Y</x:v>
      </x:c>
    </x:row>
    <x:row r="44">
      <x:c r="A44" s="54" t="n">
        <x:v>2</x:v>
      </x:c>
      <x:c r="B44" s="55" t="n">
        <x:v>1</x:v>
      </x:c>
      <x:c r="C44" s="55" t="str">
        <x:v>CIS</x:v>
      </x:c>
      <x:c r="D44" s="55" t="n">
        <x:v>0</x:v>
      </x:c>
      <x:c r="E44" s="55" t="n">
        <x:v>13</x:v>
      </x:c>
      <x:c r="F44" s="55" t="n">
        <x:v>24</x:v>
      </x:c>
      <x:c r="G44" s="108" t="n">
        <x:v>500</x:v>
      </x:c>
      <x:c r="H44" s="108" t="n">
        <x:v>500</x:v>
      </x:c>
      <x:c r="I44" s="108" t="n">
        <x:v>8</x:v>
      </x:c>
      <x:c r="J44" s="108" t="n">
        <x:v>21892</x:v>
      </x:c>
      <x:c r="K44" s="55" t="n">
        <x:v>1</x:v>
      </x:c>
      <x:c r="L44" s="55" t="n">
        <x:v>1</x:v>
      </x:c>
      <x:c r="M44" s="102" t="n">
        <x:v>0</x:v>
      </x:c>
      <x:c r="N44" s="102" t="n">
        <x:v>0</x:v>
      </x:c>
      <x:c r="O44" s="102" t="n">
        <x:v>31</x:v>
      </x:c>
      <x:c r="P44" s="56" t="str">
        <x:v>Y</x:v>
      </x:c>
    </x:row>
    <x:row r="45">
      <x:c r="A45" s="54" t="n">
        <x:v>2</x:v>
      </x:c>
      <x:c r="B45" s="55" t="n">
        <x:v>2</x:v>
      </x:c>
      <x:c r="C45" s="55" t="str">
        <x:v>CIS</x:v>
      </x:c>
      <x:c r="D45" s="55" t="n">
        <x:v>0</x:v>
      </x:c>
      <x:c r="E45" s="55" t="n">
        <x:v>13</x:v>
      </x:c>
      <x:c r="F45" s="55" t="n">
        <x:v>24</x:v>
      </x:c>
      <x:c r="G45" s="108" t="n">
        <x:v>543</x:v>
      </x:c>
      <x:c r="H45" s="108" t="n">
        <x:v>543</x:v>
      </x:c>
      <x:c r="I45" s="108" t="n">
        <x:v>8</x:v>
      </x:c>
      <x:c r="J45" s="108" t="n">
        <x:v>21892</x:v>
      </x:c>
      <x:c r="K45" s="55" t="n">
        <x:v>2</x:v>
      </x:c>
      <x:c r="L45" s="55" t="n">
        <x:v>2</x:v>
      </x:c>
      <x:c r="M45" s="102" t="n">
        <x:v>9</x:v>
      </x:c>
      <x:c r="N45" s="102" t="n">
        <x:v>9</x:v>
      </x:c>
      <x:c r="O45" s="102" t="n">
        <x:v>12</x:v>
      </x:c>
      <x:c r="P45" s="56" t="str">
        <x:v>Y</x:v>
      </x:c>
    </x:row>
    <x:row r="46">
      <x:c r="A46" s="54" t="n">
        <x:v>2</x:v>
      </x:c>
      <x:c r="B46" s="55" t="n">
        <x:v>3</x:v>
      </x:c>
      <x:c r="C46" s="55" t="str">
        <x:v>CIS</x:v>
      </x:c>
      <x:c r="D46" s="55" t="n">
        <x:v>0</x:v>
      </x:c>
      <x:c r="E46" s="55" t="n">
        <x:v>13</x:v>
      </x:c>
      <x:c r="F46" s="55" t="n">
        <x:v>24</x:v>
      </x:c>
      <x:c r="G46" s="108" t="n">
        <x:v>586</x:v>
      </x:c>
      <x:c r="H46" s="108" t="n">
        <x:v>586</x:v>
      </x:c>
      <x:c r="I46" s="108" t="n">
        <x:v>8</x:v>
      </x:c>
      <x:c r="J46" s="108" t="n">
        <x:v>21892</x:v>
      </x:c>
      <x:c r="K46" s="55" t="n">
        <x:v>3</x:v>
      </x:c>
      <x:c r="L46" s="55" t="n">
        <x:v>3</x:v>
      </x:c>
      <x:c r="M46" s="102" t="n">
        <x:v>18</x:v>
      </x:c>
      <x:c r="N46" s="102" t="n">
        <x:v>18</x:v>
      </x:c>
      <x:c r="O46" s="102" t="n">
        <x:v>11</x:v>
      </x:c>
      <x:c r="P46" s="56" t="str">
        <x:v>Y</x:v>
      </x:c>
    </x:row>
    <x:row r="47">
      <x:c r="A47" s="54" t="n">
        <x:v>2</x:v>
      </x:c>
      <x:c r="B47" s="55" t="n">
        <x:v>4</x:v>
      </x:c>
      <x:c r="C47" s="55" t="str">
        <x:v>CIS</x:v>
      </x:c>
      <x:c r="D47" s="55" t="n">
        <x:v>0</x:v>
      </x:c>
      <x:c r="E47" s="55" t="n">
        <x:v>13</x:v>
      </x:c>
      <x:c r="F47" s="55" t="n">
        <x:v>24</x:v>
      </x:c>
      <x:c r="G47" s="108" t="n">
        <x:v>630</x:v>
      </x:c>
      <x:c r="H47" s="108" t="n">
        <x:v>630</x:v>
      </x:c>
      <x:c r="I47" s="108" t="n">
        <x:v>8</x:v>
      </x:c>
      <x:c r="J47" s="108" t="n">
        <x:v>21892</x:v>
      </x:c>
      <x:c r="K47" s="55" t="n">
        <x:v>4</x:v>
      </x:c>
      <x:c r="L47" s="55" t="n">
        <x:v>4</x:v>
      </x:c>
      <x:c r="M47" s="102" t="n">
        <x:v>27</x:v>
      </x:c>
      <x:c r="N47" s="102" t="n">
        <x:v>27</x:v>
      </x:c>
      <x:c r="O47" s="102" t="n">
        <x:v>9</x:v>
      </x:c>
      <x:c r="P47" s="56" t="str">
        <x:v>Y</x:v>
      </x:c>
    </x:row>
    <x:row r="48">
      <x:c r="A48" s="54" t="n">
        <x:v>2</x:v>
      </x:c>
      <x:c r="B48" s="55" t="n">
        <x:v>5</x:v>
      </x:c>
      <x:c r="C48" s="55" t="str">
        <x:v>CIS</x:v>
      </x:c>
      <x:c r="D48" s="55" t="n">
        <x:v>0</x:v>
      </x:c>
      <x:c r="E48" s="55" t="n">
        <x:v>13</x:v>
      </x:c>
      <x:c r="F48" s="55" t="n">
        <x:v>24</x:v>
      </x:c>
      <x:c r="G48" s="108" t="n">
        <x:v>673</x:v>
      </x:c>
      <x:c r="H48" s="108" t="n">
        <x:v>673</x:v>
      </x:c>
      <x:c r="I48" s="108" t="n">
        <x:v>8</x:v>
      </x:c>
      <x:c r="J48" s="108" t="n">
        <x:v>21892</x:v>
      </x:c>
      <x:c r="K48" s="55" t="n">
        <x:v>5</x:v>
      </x:c>
      <x:c r="L48" s="55" t="n">
        <x:v>5</x:v>
      </x:c>
      <x:c r="M48" s="102" t="n">
        <x:v>36</x:v>
      </x:c>
      <x:c r="N48" s="102" t="n">
        <x:v>36</x:v>
      </x:c>
      <x:c r="O48" s="102" t="n">
        <x:v>7</x:v>
      </x:c>
      <x:c r="P48" s="56" t="str">
        <x:v>Y</x:v>
      </x:c>
    </x:row>
    <x:row r="49">
      <x:c r="A49" s="54" t="n">
        <x:v>2</x:v>
      </x:c>
      <x:c r="B49" s="55" t="n">
        <x:v>6</x:v>
      </x:c>
      <x:c r="C49" s="55" t="str">
        <x:v>CIS</x:v>
      </x:c>
      <x:c r="D49" s="55" t="n">
        <x:v>0</x:v>
      </x:c>
      <x:c r="E49" s="55" t="n">
        <x:v>13</x:v>
      </x:c>
      <x:c r="F49" s="55" t="n">
        <x:v>24</x:v>
      </x:c>
      <x:c r="G49" s="108" t="n">
        <x:v>717</x:v>
      </x:c>
      <x:c r="H49" s="108" t="n">
        <x:v>717</x:v>
      </x:c>
      <x:c r="I49" s="108" t="n">
        <x:v>8</x:v>
      </x:c>
      <x:c r="J49" s="108" t="n">
        <x:v>21892</x:v>
      </x:c>
      <x:c r="K49" s="55" t="n">
        <x:v>6</x:v>
      </x:c>
      <x:c r="L49" s="55" t="n">
        <x:v>6</x:v>
      </x:c>
      <x:c r="M49" s="102" t="n">
        <x:v>45</x:v>
      </x:c>
      <x:c r="N49" s="102" t="n">
        <x:v>45</x:v>
      </x:c>
      <x:c r="O49" s="102" t="n">
        <x:v>5</x:v>
      </x:c>
      <x:c r="P49" s="56" t="str">
        <x:v>Y</x:v>
      </x:c>
    </x:row>
    <x:row r="50">
      <x:c r="A50" s="54" t="n">
        <x:v>2</x:v>
      </x:c>
      <x:c r="B50" s="55" t="n">
        <x:v>7</x:v>
      </x:c>
      <x:c r="C50" s="55" t="str">
        <x:v>CIS</x:v>
      </x:c>
      <x:c r="D50" s="55" t="n">
        <x:v>0</x:v>
      </x:c>
      <x:c r="E50" s="55" t="n">
        <x:v>13</x:v>
      </x:c>
      <x:c r="F50" s="55" t="n">
        <x:v>24</x:v>
      </x:c>
      <x:c r="G50" s="108" t="n">
        <x:v>760</x:v>
      </x:c>
      <x:c r="H50" s="108" t="n">
        <x:v>760</x:v>
      </x:c>
      <x:c r="I50" s="108" t="n">
        <x:v>8</x:v>
      </x:c>
      <x:c r="J50" s="108" t="n">
        <x:v>21892</x:v>
      </x:c>
      <x:c r="K50" s="55" t="n">
        <x:v>7</x:v>
      </x:c>
      <x:c r="L50" s="55" t="n">
        <x:v>7</x:v>
      </x:c>
      <x:c r="M50" s="102" t="n">
        <x:v>55</x:v>
      </x:c>
      <x:c r="N50" s="102" t="n">
        <x:v>55</x:v>
      </x:c>
      <x:c r="O50" s="102" t="n">
        <x:v>3</x:v>
      </x:c>
      <x:c r="P50" s="56" t="str">
        <x:v>Y</x:v>
      </x:c>
    </x:row>
    <x:row r="51">
      <x:c r="A51" s="54" t="n">
        <x:v>2</x:v>
      </x:c>
      <x:c r="B51" s="55" t="n">
        <x:v>8</x:v>
      </x:c>
      <x:c r="C51" s="55" t="str">
        <x:v>CIS</x:v>
      </x:c>
      <x:c r="D51" s="55" t="n">
        <x:v>0</x:v>
      </x:c>
      <x:c r="E51" s="55" t="n">
        <x:v>13</x:v>
      </x:c>
      <x:c r="F51" s="55" t="n">
        <x:v>24</x:v>
      </x:c>
      <x:c r="G51" s="108" t="n">
        <x:v>804</x:v>
      </x:c>
      <x:c r="H51" s="108" t="n">
        <x:v>804</x:v>
      </x:c>
      <x:c r="I51" s="108" t="n">
        <x:v>8</x:v>
      </x:c>
      <x:c r="J51" s="108" t="n">
        <x:v>21892</x:v>
      </x:c>
      <x:c r="K51" s="55" t="n">
        <x:v>8</x:v>
      </x:c>
      <x:c r="L51" s="55" t="n">
        <x:v>8</x:v>
      </x:c>
      <x:c r="M51" s="102" t="n">
        <x:v>64</x:v>
      </x:c>
      <x:c r="N51" s="102" t="n">
        <x:v>64</x:v>
      </x:c>
      <x:c r="O51" s="102" t="n">
        <x:v>1</x:v>
      </x:c>
      <x:c r="P51" s="56" t="str">
        <x:v>Y</x:v>
      </x:c>
    </x:row>
    <x:row r="52">
      <x:c r="A52" s="54" t="n">
        <x:v>2</x:v>
      </x:c>
      <x:c r="B52" s="55" t="n">
        <x:v>9</x:v>
      </x:c>
      <x:c r="C52" s="55" t="str">
        <x:v>CIS</x:v>
      </x:c>
      <x:c r="D52" s="55" t="n">
        <x:v>0</x:v>
      </x:c>
      <x:c r="E52" s="55" t="n">
        <x:v>13</x:v>
      </x:c>
      <x:c r="F52" s="55" t="n">
        <x:v>24</x:v>
      </x:c>
      <x:c r="G52" s="108" t="n">
        <x:v>847</x:v>
      </x:c>
      <x:c r="H52" s="108" t="n">
        <x:v>847</x:v>
      </x:c>
      <x:c r="I52" s="108" t="n">
        <x:v>8</x:v>
      </x:c>
      <x:c r="J52" s="108" t="n">
        <x:v>21892</x:v>
      </x:c>
      <x:c r="K52" s="55" t="n">
        <x:v>9</x:v>
      </x:c>
      <x:c r="L52" s="55" t="n">
        <x:v>9</x:v>
      </x:c>
      <x:c r="M52" s="102" t="n">
        <x:v>73</x:v>
      </x:c>
      <x:c r="N52" s="102" t="n">
        <x:v>73</x:v>
      </x:c>
      <x:c r="O52" s="102" t="n">
        <x:v>0</x:v>
      </x:c>
      <x:c r="P52" s="56" t="str">
        <x:v>Y</x:v>
      </x:c>
    </x:row>
    <x:row r="53">
      <x:c r="A53" s="54" t="n">
        <x:v>2</x:v>
      </x:c>
      <x:c r="B53" s="55" t="n">
        <x:v>10</x:v>
      </x:c>
      <x:c r="C53" s="55" t="str">
        <x:v>CIS</x:v>
      </x:c>
      <x:c r="D53" s="55" t="n">
        <x:v>0</x:v>
      </x:c>
      <x:c r="E53" s="55" t="n">
        <x:v>13</x:v>
      </x:c>
      <x:c r="F53" s="55" t="n">
        <x:v>24</x:v>
      </x:c>
      <x:c r="G53" s="108" t="n">
        <x:v>891</x:v>
      </x:c>
      <x:c r="H53" s="108" t="n">
        <x:v>891</x:v>
      </x:c>
      <x:c r="I53" s="108" t="n">
        <x:v>8</x:v>
      </x:c>
      <x:c r="J53" s="108" t="n">
        <x:v>21892</x:v>
      </x:c>
      <x:c r="K53" s="55" t="n">
        <x:v>10</x:v>
      </x:c>
      <x:c r="L53" s="55" t="n">
        <x:v>10</x:v>
      </x:c>
      <x:c r="M53" s="102" t="n">
        <x:v>82</x:v>
      </x:c>
      <x:c r="N53" s="102" t="n">
        <x:v>82</x:v>
      </x:c>
      <x:c r="O53" s="102" t="n">
        <x:v>2</x:v>
      </x:c>
      <x:c r="P53" s="56" t="str">
        <x:v>Y</x:v>
      </x:c>
    </x:row>
    <x:row r="54">
      <x:c r="A54" s="54" t="n">
        <x:v>2</x:v>
      </x:c>
      <x:c r="B54" s="55" t="n">
        <x:v>11</x:v>
      </x:c>
      <x:c r="C54" s="55" t="str">
        <x:v>CIS</x:v>
      </x:c>
      <x:c r="D54" s="55" t="n">
        <x:v>0</x:v>
      </x:c>
      <x:c r="E54" s="55" t="n">
        <x:v>13</x:v>
      </x:c>
      <x:c r="F54" s="55" t="n">
        <x:v>24</x:v>
      </x:c>
      <x:c r="G54" s="108" t="n">
        <x:v>934</x:v>
      </x:c>
      <x:c r="H54" s="108" t="n">
        <x:v>934</x:v>
      </x:c>
      <x:c r="I54" s="108" t="n">
        <x:v>8</x:v>
      </x:c>
      <x:c r="J54" s="108" t="n">
        <x:v>21892</x:v>
      </x:c>
      <x:c r="K54" s="55" t="n">
        <x:v>11</x:v>
      </x:c>
      <x:c r="L54" s="55" t="n">
        <x:v>11</x:v>
      </x:c>
      <x:c r="M54" s="102" t="n">
        <x:v>91</x:v>
      </x:c>
      <x:c r="N54" s="102" t="n">
        <x:v>91</x:v>
      </x:c>
      <x:c r="O54" s="102" t="n">
        <x:v>4</x:v>
      </x:c>
      <x:c r="P54" s="56" t="str">
        <x:v>Y</x:v>
      </x:c>
    </x:row>
    <x:row r="55">
      <x:c r="A55" s="54" t="n">
        <x:v>2</x:v>
      </x:c>
      <x:c r="B55" s="55" t="n">
        <x:v>12</x:v>
      </x:c>
      <x:c r="C55" s="55" t="str">
        <x:v>CIS</x:v>
      </x:c>
      <x:c r="D55" s="55" t="n">
        <x:v>0</x:v>
      </x:c>
      <x:c r="E55" s="55" t="n">
        <x:v>13</x:v>
      </x:c>
      <x:c r="F55" s="55" t="n">
        <x:v>24</x:v>
      </x:c>
      <x:c r="G55" s="108" t="n">
        <x:v>978</x:v>
      </x:c>
      <x:c r="H55" s="108" t="n">
        <x:v>978</x:v>
      </x:c>
      <x:c r="I55" s="108" t="n">
        <x:v>8</x:v>
      </x:c>
      <x:c r="J55" s="108" t="n">
        <x:v>21892</x:v>
      </x:c>
      <x:c r="K55" s="55" t="n">
        <x:v>12</x:v>
      </x:c>
      <x:c r="L55" s="55" t="n">
        <x:v>12</x:v>
      </x:c>
      <x:c r="M55" s="102" t="n">
        <x:v>101</x:v>
      </x:c>
      <x:c r="N55" s="102" t="n">
        <x:v>101</x:v>
      </x:c>
      <x:c r="O55" s="102" t="n">
        <x:v>6</x:v>
      </x:c>
      <x:c r="P55" s="56" t="str">
        <x:v>Y</x:v>
      </x:c>
    </x:row>
    <x:row r="56">
      <x:c r="A56" s="54" t="n">
        <x:v>2</x:v>
      </x:c>
      <x:c r="B56" s="55" t="n">
        <x:v>13</x:v>
      </x:c>
      <x:c r="C56" s="55" t="str">
        <x:v>CIS</x:v>
      </x:c>
      <x:c r="D56" s="55" t="n">
        <x:v>0</x:v>
      </x:c>
      <x:c r="E56" s="55" t="n">
        <x:v>13</x:v>
      </x:c>
      <x:c r="F56" s="55" t="n">
        <x:v>24</x:v>
      </x:c>
      <x:c r="G56" s="108" t="n">
        <x:v>1021</x:v>
      </x:c>
      <x:c r="H56" s="108" t="n">
        <x:v>1021</x:v>
      </x:c>
      <x:c r="I56" s="108" t="n">
        <x:v>8</x:v>
      </x:c>
      <x:c r="J56" s="108" t="n">
        <x:v>21892</x:v>
      </x:c>
      <x:c r="K56" s="55" t="n">
        <x:v>13</x:v>
      </x:c>
      <x:c r="L56" s="55" t="n">
        <x:v>13</x:v>
      </x:c>
      <x:c r="M56" s="102" t="n">
        <x:v>110</x:v>
      </x:c>
      <x:c r="N56" s="102" t="n">
        <x:v>110</x:v>
      </x:c>
      <x:c r="O56" s="102" t="n">
        <x:v>8</x:v>
      </x:c>
      <x:c r="P56" s="56" t="str">
        <x:v>Y</x:v>
      </x:c>
    </x:row>
    <x:row r="57">
      <x:c r="A57" s="54" t="n">
        <x:v>2</x:v>
      </x:c>
      <x:c r="B57" s="55" t="n">
        <x:v>14</x:v>
      </x:c>
      <x:c r="C57" s="55" t="str">
        <x:v>CIS</x:v>
      </x:c>
      <x:c r="D57" s="55" t="n">
        <x:v>0</x:v>
      </x:c>
      <x:c r="E57" s="55" t="n">
        <x:v>13</x:v>
      </x:c>
      <x:c r="F57" s="55" t="n">
        <x:v>24</x:v>
      </x:c>
      <x:c r="G57" s="108" t="n">
        <x:v>1065</x:v>
      </x:c>
      <x:c r="H57" s="108" t="n">
        <x:v>1065</x:v>
      </x:c>
      <x:c r="I57" s="108" t="n">
        <x:v>8</x:v>
      </x:c>
      <x:c r="J57" s="108" t="n">
        <x:v>21892</x:v>
      </x:c>
      <x:c r="K57" s="55" t="n">
        <x:v>14</x:v>
      </x:c>
      <x:c r="L57" s="55" t="n">
        <x:v>14</x:v>
      </x:c>
      <x:c r="M57" s="102" t="n">
        <x:v>119</x:v>
      </x:c>
      <x:c r="N57" s="102" t="n">
        <x:v>119</x:v>
      </x:c>
      <x:c r="O57" s="102" t="n">
        <x:v>10</x:v>
      </x:c>
      <x:c r="P57" s="56" t="str">
        <x:v>Y</x:v>
      </x:c>
    </x:row>
    <x:row r="58">
      <x:c r="A58" s="54" t="n">
        <x:v>2</x:v>
      </x:c>
      <x:c r="B58" s="55" t="n">
        <x:v>15</x:v>
      </x:c>
      <x:c r="C58" s="55" t="str">
        <x:v>CIS</x:v>
      </x:c>
      <x:c r="D58" s="55" t="n">
        <x:v>0</x:v>
      </x:c>
      <x:c r="E58" s="55" t="n">
        <x:v>13</x:v>
      </x:c>
      <x:c r="F58" s="55" t="n">
        <x:v>24</x:v>
      </x:c>
      <x:c r="G58" s="108" t="n">
        <x:v>1108</x:v>
      </x:c>
      <x:c r="H58" s="108" t="n">
        <x:v>1108</x:v>
      </x:c>
      <x:c r="I58" s="108" t="n">
        <x:v>8</x:v>
      </x:c>
      <x:c r="J58" s="108" t="n">
        <x:v>21892</x:v>
      </x:c>
      <x:c r="K58" s="55" t="n">
        <x:v>15</x:v>
      </x:c>
      <x:c r="L58" s="55" t="n">
        <x:v>15</x:v>
      </x:c>
      <x:c r="M58" s="102" t="n">
        <x:v>128</x:v>
      </x:c>
      <x:c r="N58" s="102" t="n">
        <x:v>128</x:v>
      </x:c>
      <x:c r="O58" s="102" t="n">
        <x:v>13</x:v>
      </x:c>
      <x:c r="P58" s="56" t="str">
        <x:v>Y</x:v>
      </x:c>
    </x:row>
    <x:row r="59">
      <x:c r="A59" s="54" t="n">
        <x:v>2</x:v>
      </x:c>
      <x:c r="B59" s="55" t="n">
        <x:v>16</x:v>
      </x:c>
      <x:c r="C59" s="55" t="str">
        <x:v>CIS</x:v>
      </x:c>
      <x:c r="D59" s="55" t="n">
        <x:v>0</x:v>
      </x:c>
      <x:c r="E59" s="55" t="n">
        <x:v>13</x:v>
      </x:c>
      <x:c r="F59" s="55" t="n">
        <x:v>24</x:v>
      </x:c>
      <x:c r="G59" s="108" t="n">
        <x:v>1500</x:v>
      </x:c>
      <x:c r="H59" s="108" t="n">
        <x:v>1500</x:v>
      </x:c>
      <x:c r="I59" s="108" t="n">
        <x:v>8</x:v>
      </x:c>
      <x:c r="J59" s="108" t="n">
        <x:v>21892</x:v>
      </x:c>
      <x:c r="K59" s="55" t="n">
        <x:v>16</x:v>
      </x:c>
      <x:c r="L59" s="55" t="n">
        <x:v>16</x:v>
      </x:c>
      <x:c r="M59" s="102" t="n">
        <x:v>211</x:v>
      </x:c>
      <x:c r="N59" s="102" t="n">
        <x:v>211</x:v>
      </x:c>
      <x:c r="O59" s="102" t="n">
        <x:v>15</x:v>
      </x:c>
      <x:c r="P59" s="56" t="str">
        <x:v>Y</x:v>
      </x:c>
    </x:row>
    <x:row r="60">
      <x:c r="A60" s="54" t="n">
        <x:v>2</x:v>
      </x:c>
      <x:c r="B60" s="55" t="n">
        <x:v>17</x:v>
      </x:c>
      <x:c r="C60" s="55" t="str">
        <x:v>CIS</x:v>
      </x:c>
      <x:c r="D60" s="55" t="n">
        <x:v>0</x:v>
      </x:c>
      <x:c r="E60" s="55" t="n">
        <x:v>13</x:v>
      </x:c>
      <x:c r="F60" s="55" t="n">
        <x:v>24</x:v>
      </x:c>
      <x:c r="G60" s="108" t="n">
        <x:v>1195</x:v>
      </x:c>
      <x:c r="H60" s="108" t="n">
        <x:v>1195</x:v>
      </x:c>
      <x:c r="I60" s="108" t="n">
        <x:v>8</x:v>
      </x:c>
      <x:c r="J60" s="108" t="n">
        <x:v>21892</x:v>
      </x:c>
      <x:c r="K60" s="55" t="n">
        <x:v>17</x:v>
      </x:c>
      <x:c r="L60" s="55" t="n">
        <x:v>17</x:v>
      </x:c>
      <x:c r="M60" s="102" t="n">
        <x:v>147</x:v>
      </x:c>
      <x:c r="N60" s="102" t="n">
        <x:v>147</x:v>
      </x:c>
      <x:c r="O60" s="102" t="n">
        <x:v>17</x:v>
      </x:c>
      <x:c r="P60" s="56" t="str">
        <x:v>Y</x:v>
      </x:c>
    </x:row>
    <x:row r="61">
      <x:c r="A61" s="54" t="n">
        <x:v>2</x:v>
      </x:c>
      <x:c r="B61" s="55" t="n">
        <x:v>18</x:v>
      </x:c>
      <x:c r="C61" s="55" t="str">
        <x:v>CIS</x:v>
      </x:c>
      <x:c r="D61" s="55" t="n">
        <x:v>0</x:v>
      </x:c>
      <x:c r="E61" s="55" t="n">
        <x:v>13</x:v>
      </x:c>
      <x:c r="F61" s="55" t="n">
        <x:v>24</x:v>
      </x:c>
      <x:c r="G61" s="108" t="n">
        <x:v>1239</x:v>
      </x:c>
      <x:c r="H61" s="108" t="n">
        <x:v>1239</x:v>
      </x:c>
      <x:c r="I61" s="108" t="n">
        <x:v>8</x:v>
      </x:c>
      <x:c r="J61" s="108" t="n">
        <x:v>21892</x:v>
      </x:c>
      <x:c r="K61" s="55" t="n">
        <x:v>18</x:v>
      </x:c>
      <x:c r="L61" s="55" t="n">
        <x:v>18</x:v>
      </x:c>
      <x:c r="M61" s="102" t="n">
        <x:v>156</x:v>
      </x:c>
      <x:c r="N61" s="102" t="n">
        <x:v>156</x:v>
      </x:c>
      <x:c r="O61" s="102" t="n">
        <x:v>18</x:v>
      </x:c>
      <x:c r="P61" s="56" t="str">
        <x:v>Y</x:v>
      </x:c>
    </x:row>
    <x:row r="62">
      <x:c r="A62" s="54" t="n">
        <x:v>2</x:v>
      </x:c>
      <x:c r="B62" s="55" t="n">
        <x:v>19</x:v>
      </x:c>
      <x:c r="C62" s="55" t="str">
        <x:v>CIS</x:v>
      </x:c>
      <x:c r="D62" s="55" t="n">
        <x:v>0</x:v>
      </x:c>
      <x:c r="E62" s="55" t="n">
        <x:v>13</x:v>
      </x:c>
      <x:c r="F62" s="55" t="n">
        <x:v>24</x:v>
      </x:c>
      <x:c r="G62" s="108" t="n">
        <x:v>1282</x:v>
      </x:c>
      <x:c r="H62" s="108" t="n">
        <x:v>1282</x:v>
      </x:c>
      <x:c r="I62" s="108" t="n">
        <x:v>8</x:v>
      </x:c>
      <x:c r="J62" s="108" t="n">
        <x:v>21892</x:v>
      </x:c>
      <x:c r="K62" s="55" t="n">
        <x:v>19</x:v>
      </x:c>
      <x:c r="L62" s="55" t="n">
        <x:v>19</x:v>
      </x:c>
      <x:c r="M62" s="102" t="n">
        <x:v>165</x:v>
      </x:c>
      <x:c r="N62" s="102" t="n">
        <x:v>165</x:v>
      </x:c>
      <x:c r="O62" s="102" t="n">
        <x:v>20</x:v>
      </x:c>
      <x:c r="P62" s="56" t="str">
        <x:v>Y</x:v>
      </x:c>
    </x:row>
    <x:row r="63">
      <x:c r="A63" s="54" t="n">
        <x:v>2</x:v>
      </x:c>
      <x:c r="B63" s="55" t="n">
        <x:v>20</x:v>
      </x:c>
      <x:c r="C63" s="55" t="str">
        <x:v>CIS</x:v>
      </x:c>
      <x:c r="D63" s="55" t="n">
        <x:v>0</x:v>
      </x:c>
      <x:c r="E63" s="55" t="n">
        <x:v>13</x:v>
      </x:c>
      <x:c r="F63" s="55" t="n">
        <x:v>24</x:v>
      </x:c>
      <x:c r="G63" s="108" t="n">
        <x:v>1326</x:v>
      </x:c>
      <x:c r="H63" s="108" t="n">
        <x:v>1326</x:v>
      </x:c>
      <x:c r="I63" s="108" t="n">
        <x:v>8</x:v>
      </x:c>
      <x:c r="J63" s="108" t="n">
        <x:v>21892</x:v>
      </x:c>
      <x:c r="K63" s="55" t="n">
        <x:v>20</x:v>
      </x:c>
      <x:c r="L63" s="55" t="n">
        <x:v>20</x:v>
      </x:c>
      <x:c r="M63" s="102" t="n">
        <x:v>174</x:v>
      </x:c>
      <x:c r="N63" s="102" t="n">
        <x:v>174</x:v>
      </x:c>
      <x:c r="O63" s="102" t="n">
        <x:v>22</x:v>
      </x:c>
      <x:c r="P63" s="56" t="str">
        <x:v>Y</x:v>
      </x:c>
    </x:row>
    <x:row r="64">
      <x:c r="A64" s="54" t="n">
        <x:v>2</x:v>
      </x:c>
      <x:c r="B64" s="55" t="n">
        <x:v>21</x:v>
      </x:c>
      <x:c r="C64" s="55" t="str">
        <x:v>CIS</x:v>
      </x:c>
      <x:c r="D64" s="55" t="n">
        <x:v>0</x:v>
      </x:c>
      <x:c r="E64" s="55" t="n">
        <x:v>13</x:v>
      </x:c>
      <x:c r="F64" s="55" t="n">
        <x:v>24</x:v>
      </x:c>
      <x:c r="G64" s="108" t="n">
        <x:v>1369</x:v>
      </x:c>
      <x:c r="H64" s="108" t="n">
        <x:v>1369</x:v>
      </x:c>
      <x:c r="I64" s="108" t="n">
        <x:v>8</x:v>
      </x:c>
      <x:c r="J64" s="108" t="n">
        <x:v>21892</x:v>
      </x:c>
      <x:c r="K64" s="55" t="n">
        <x:v>21</x:v>
      </x:c>
      <x:c r="L64" s="55" t="n">
        <x:v>21</x:v>
      </x:c>
      <x:c r="M64" s="102" t="n">
        <x:v>184</x:v>
      </x:c>
      <x:c r="N64" s="102" t="n">
        <x:v>184</x:v>
      </x:c>
      <x:c r="O64" s="102" t="n">
        <x:v>24</x:v>
      </x:c>
      <x:c r="P64" s="56" t="str">
        <x:v>Y</x:v>
      </x:c>
    </x:row>
    <x:row r="65">
      <x:c r="A65" s="54" t="n">
        <x:v>2</x:v>
      </x:c>
      <x:c r="B65" s="55" t="n">
        <x:v>22</x:v>
      </x:c>
      <x:c r="C65" s="55" t="str">
        <x:v>CIS</x:v>
      </x:c>
      <x:c r="D65" s="55" t="n">
        <x:v>0</x:v>
      </x:c>
      <x:c r="E65" s="55" t="n">
        <x:v>13</x:v>
      </x:c>
      <x:c r="F65" s="55" t="n">
        <x:v>24</x:v>
      </x:c>
      <x:c r="G65" s="108" t="n">
        <x:v>1413</x:v>
      </x:c>
      <x:c r="H65" s="108" t="n">
        <x:v>1413</x:v>
      </x:c>
      <x:c r="I65" s="108" t="n">
        <x:v>8</x:v>
      </x:c>
      <x:c r="J65" s="108" t="n">
        <x:v>21892</x:v>
      </x:c>
      <x:c r="K65" s="55" t="n">
        <x:v>22</x:v>
      </x:c>
      <x:c r="L65" s="55" t="n">
        <x:v>22</x:v>
      </x:c>
      <x:c r="M65" s="102" t="n">
        <x:v>193</x:v>
      </x:c>
      <x:c r="N65" s="102" t="n">
        <x:v>193</x:v>
      </x:c>
      <x:c r="O65" s="102" t="n">
        <x:v>26</x:v>
      </x:c>
      <x:c r="P65" s="56" t="str">
        <x:v>Y</x:v>
      </x:c>
    </x:row>
    <x:row r="66">
      <x:c r="A66" s="54" t="n">
        <x:v>2</x:v>
      </x:c>
      <x:c r="B66" s="55" t="n">
        <x:v>23</x:v>
      </x:c>
      <x:c r="C66" s="55" t="str">
        <x:v>CIS</x:v>
      </x:c>
      <x:c r="D66" s="55" t="n">
        <x:v>0</x:v>
      </x:c>
      <x:c r="E66" s="55" t="n">
        <x:v>13</x:v>
      </x:c>
      <x:c r="F66" s="55" t="n">
        <x:v>24</x:v>
      </x:c>
      <x:c r="G66" s="108" t="n">
        <x:v>1456</x:v>
      </x:c>
      <x:c r="H66" s="108" t="n">
        <x:v>1456</x:v>
      </x:c>
      <x:c r="I66" s="108" t="n">
        <x:v>8</x:v>
      </x:c>
      <x:c r="J66" s="108" t="n">
        <x:v>21892</x:v>
      </x:c>
      <x:c r="K66" s="55" t="n">
        <x:v>23</x:v>
      </x:c>
      <x:c r="L66" s="55" t="n">
        <x:v>23</x:v>
      </x:c>
      <x:c r="M66" s="102" t="n">
        <x:v>202</x:v>
      </x:c>
      <x:c r="N66" s="102" t="n">
        <x:v>202</x:v>
      </x:c>
      <x:c r="O66" s="102" t="n">
        <x:v>28</x:v>
      </x:c>
      <x:c r="P66" s="56" t="str">
        <x:v>Y</x:v>
      </x:c>
    </x:row>
    <x:row r="67">
      <x:c r="A67" s="54" t="n">
        <x:v>2</x:v>
      </x:c>
      <x:c r="B67" s="55" t="n">
        <x:v>24</x:v>
      </x:c>
      <x:c r="C67" s="55" t="str">
        <x:v>CIS</x:v>
      </x:c>
      <x:c r="D67" s="55" t="n">
        <x:v>0</x:v>
      </x:c>
      <x:c r="E67" s="55" t="n">
        <x:v>13</x:v>
      </x:c>
      <x:c r="F67" s="55" t="n">
        <x:v>24</x:v>
      </x:c>
      <x:c r="G67" s="108" t="n">
        <x:v>1500</x:v>
      </x:c>
      <x:c r="H67" s="108" t="n">
        <x:v>1500</x:v>
      </x:c>
      <x:c r="I67" s="108" t="n">
        <x:v>8</x:v>
      </x:c>
      <x:c r="J67" s="108" t="n">
        <x:v>21892</x:v>
      </x:c>
      <x:c r="K67" s="55" t="n">
        <x:v>24</x:v>
      </x:c>
      <x:c r="L67" s="55" t="n">
        <x:v>24</x:v>
      </x:c>
      <x:c r="M67" s="102" t="n">
        <x:v>211</x:v>
      </x:c>
      <x:c r="N67" s="102" t="n">
        <x:v>211</x:v>
      </x:c>
      <x:c r="O67" s="102" t="n">
        <x:v>30</x:v>
      </x:c>
      <x:c r="P67" s="56" t="str">
        <x:v>Y</x:v>
      </x:c>
    </x:row>
    <x:row r="68">
      <x:c r="A68" s="54" t="n">
        <x:v>2</x:v>
      </x:c>
      <x:c r="B68" s="55" t="n">
        <x:v>25</x:v>
      </x:c>
      <x:c r="C68" s="55" t="str">
        <x:v>CIS</x:v>
      </x:c>
      <x:c r="D68" s="55" t="n">
        <x:v>0</x:v>
      </x:c>
      <x:c r="E68" s="55" t="n">
        <x:v>13</x:v>
      </x:c>
      <x:c r="F68" s="55" t="n">
        <x:v>24</x:v>
      </x:c>
      <x:c r="G68" s="108" t="n">
        <x:v>0</x:v>
      </x:c>
      <x:c r="H68" s="108" t="n">
        <x:v>0</x:v>
      </x:c>
      <x:c r="I68" s="108" t="n">
        <x:v>8</x:v>
      </x:c>
      <x:c r="J68" s="108" t="n">
        <x:v>21892</x:v>
      </x:c>
      <x:c r="K68" s="55" t="n">
        <x:v>25</x:v>
      </x:c>
      <x:c r="L68" s="55" t="n">
        <x:v>25</x:v>
      </x:c>
      <x:c r="M68" s="102" t="n">
        <x:v>0</x:v>
      </x:c>
      <x:c r="N68" s="102" t="n">
        <x:v>0</x:v>
      </x:c>
      <x:c r="O68" s="102" t="n">
        <x:v>14</x:v>
      </x:c>
      <x:c r="P68" s="56" t="str">
        <x:v>N</x:v>
      </x:c>
    </x:row>
    <x:row r="69">
      <x:c r="A69" s="54" t="n">
        <x:v>2</x:v>
      </x:c>
      <x:c r="B69" s="55" t="n">
        <x:v>26</x:v>
      </x:c>
      <x:c r="C69" s="55" t="str">
        <x:v>CIS</x:v>
      </x:c>
      <x:c r="D69" s="55" t="n">
        <x:v>0</x:v>
      </x:c>
      <x:c r="E69" s="55" t="n">
        <x:v>13</x:v>
      </x:c>
      <x:c r="F69" s="55" t="n">
        <x:v>24</x:v>
      </x:c>
      <x:c r="G69" s="108" t="n">
        <x:v>0</x:v>
      </x:c>
      <x:c r="H69" s="108" t="n">
        <x:v>0</x:v>
      </x:c>
      <x:c r="I69" s="108" t="n">
        <x:v>8</x:v>
      </x:c>
      <x:c r="J69" s="108" t="n">
        <x:v>21892</x:v>
      </x:c>
      <x:c r="K69" s="55" t="n">
        <x:v>26</x:v>
      </x:c>
      <x:c r="L69" s="55" t="n">
        <x:v>26</x:v>
      </x:c>
      <x:c r="M69" s="102" t="n">
        <x:v>0</x:v>
      </x:c>
      <x:c r="N69" s="102" t="n">
        <x:v>0</x:v>
      </x:c>
      <x:c r="O69" s="102" t="n">
        <x:v>29</x:v>
      </x:c>
      <x:c r="P69" s="56" t="str">
        <x:v>N</x:v>
      </x:c>
    </x:row>
    <x:row r="70">
      <x:c r="A70" s="54" t="n">
        <x:v>2</x:v>
      </x:c>
      <x:c r="B70" s="55" t="n">
        <x:v>27</x:v>
      </x:c>
      <x:c r="C70" s="55" t="str">
        <x:v>CIS</x:v>
      </x:c>
      <x:c r="D70" s="55" t="n">
        <x:v>0</x:v>
      </x:c>
      <x:c r="E70" s="55" t="n">
        <x:v>13</x:v>
      </x:c>
      <x:c r="F70" s="55" t="n">
        <x:v>24</x:v>
      </x:c>
      <x:c r="G70" s="108" t="n">
        <x:v>0</x:v>
      </x:c>
      <x:c r="H70" s="108" t="n">
        <x:v>0</x:v>
      </x:c>
      <x:c r="I70" s="108" t="n">
        <x:v>8</x:v>
      </x:c>
      <x:c r="J70" s="108" t="n">
        <x:v>21892</x:v>
      </x:c>
      <x:c r="K70" s="55" t="n">
        <x:v>27</x:v>
      </x:c>
      <x:c r="L70" s="55" t="n">
        <x:v>27</x:v>
      </x:c>
      <x:c r="M70" s="102" t="n">
        <x:v>0</x:v>
      </x:c>
      <x:c r="N70" s="102" t="n">
        <x:v>0</x:v>
      </x:c>
      <x:c r="O70" s="102" t="n">
        <x:v>27</x:v>
      </x:c>
      <x:c r="P70" s="56" t="str">
        <x:v>N</x:v>
      </x:c>
    </x:row>
    <x:row r="71">
      <x:c r="A71" s="54" t="n">
        <x:v>2</x:v>
      </x:c>
      <x:c r="B71" s="55" t="n">
        <x:v>28</x:v>
      </x:c>
      <x:c r="C71" s="55" t="str">
        <x:v>CIS</x:v>
      </x:c>
      <x:c r="D71" s="55" t="n">
        <x:v>0</x:v>
      </x:c>
      <x:c r="E71" s="55" t="n">
        <x:v>13</x:v>
      </x:c>
      <x:c r="F71" s="55" t="n">
        <x:v>24</x:v>
      </x:c>
      <x:c r="G71" s="108" t="n">
        <x:v>0</x:v>
      </x:c>
      <x:c r="H71" s="108" t="n">
        <x:v>0</x:v>
      </x:c>
      <x:c r="I71" s="108" t="n">
        <x:v>8</x:v>
      </x:c>
      <x:c r="J71" s="108" t="n">
        <x:v>21892</x:v>
      </x:c>
      <x:c r="K71" s="55" t="n">
        <x:v>28</x:v>
      </x:c>
      <x:c r="L71" s="55" t="n">
        <x:v>28</x:v>
      </x:c>
      <x:c r="M71" s="102" t="n">
        <x:v>0</x:v>
      </x:c>
      <x:c r="N71" s="102" t="n">
        <x:v>0</x:v>
      </x:c>
      <x:c r="O71" s="102" t="n">
        <x:v>25</x:v>
      </x:c>
      <x:c r="P71" s="56" t="str">
        <x:v>N</x:v>
      </x:c>
    </x:row>
    <x:row r="72">
      <x:c r="A72" s="54" t="n">
        <x:v>2</x:v>
      </x:c>
      <x:c r="B72" s="55" t="n">
        <x:v>29</x:v>
      </x:c>
      <x:c r="C72" s="55" t="str">
        <x:v>CIS</x:v>
      </x:c>
      <x:c r="D72" s="55" t="n">
        <x:v>0</x:v>
      </x:c>
      <x:c r="E72" s="55" t="n">
        <x:v>13</x:v>
      </x:c>
      <x:c r="F72" s="55" t="n">
        <x:v>24</x:v>
      </x:c>
      <x:c r="G72" s="108" t="n">
        <x:v>0</x:v>
      </x:c>
      <x:c r="H72" s="108" t="n">
        <x:v>0</x:v>
      </x:c>
      <x:c r="I72" s="108" t="n">
        <x:v>8</x:v>
      </x:c>
      <x:c r="J72" s="108" t="n">
        <x:v>21892</x:v>
      </x:c>
      <x:c r="K72" s="55" t="n">
        <x:v>29</x:v>
      </x:c>
      <x:c r="L72" s="55" t="n">
        <x:v>29</x:v>
      </x:c>
      <x:c r="M72" s="102" t="n">
        <x:v>0</x:v>
      </x:c>
      <x:c r="N72" s="102" t="n">
        <x:v>0</x:v>
      </x:c>
      <x:c r="O72" s="102" t="n">
        <x:v>23</x:v>
      </x:c>
      <x:c r="P72" s="56" t="str">
        <x:v>N</x:v>
      </x:c>
    </x:row>
    <x:row r="73">
      <x:c r="A73" s="54" t="n">
        <x:v>2</x:v>
      </x:c>
      <x:c r="B73" s="55" t="n">
        <x:v>30</x:v>
      </x:c>
      <x:c r="C73" s="55" t="str">
        <x:v>CIS</x:v>
      </x:c>
      <x:c r="D73" s="55" t="n">
        <x:v>0</x:v>
      </x:c>
      <x:c r="E73" s="55" t="n">
        <x:v>13</x:v>
      </x:c>
      <x:c r="F73" s="55" t="n">
        <x:v>24</x:v>
      </x:c>
      <x:c r="G73" s="108" t="n">
        <x:v>0</x:v>
      </x:c>
      <x:c r="H73" s="108" t="n">
        <x:v>0</x:v>
      </x:c>
      <x:c r="I73" s="108" t="n">
        <x:v>8</x:v>
      </x:c>
      <x:c r="J73" s="108" t="n">
        <x:v>21892</x:v>
      </x:c>
      <x:c r="K73" s="55" t="n">
        <x:v>30</x:v>
      </x:c>
      <x:c r="L73" s="55" t="n">
        <x:v>30</x:v>
      </x:c>
      <x:c r="M73" s="102" t="n">
        <x:v>0</x:v>
      </x:c>
      <x:c r="N73" s="102" t="n">
        <x:v>0</x:v>
      </x:c>
      <x:c r="O73" s="102" t="n">
        <x:v>21</x:v>
      </x:c>
      <x:c r="P73" s="56" t="str">
        <x:v>N</x:v>
      </x:c>
    </x:row>
    <x:row r="74">
      <x:c r="A74" s="54" t="n">
        <x:v>2</x:v>
      </x:c>
      <x:c r="B74" s="55" t="n">
        <x:v>31</x:v>
      </x:c>
      <x:c r="C74" s="55" t="str">
        <x:v>CIS</x:v>
      </x:c>
      <x:c r="D74" s="55" t="n">
        <x:v>0</x:v>
      </x:c>
      <x:c r="E74" s="55" t="n">
        <x:v>13</x:v>
      </x:c>
      <x:c r="F74" s="55" t="n">
        <x:v>24</x:v>
      </x:c>
      <x:c r="G74" s="108" t="n">
        <x:v>0</x:v>
      </x:c>
      <x:c r="H74" s="108" t="n">
        <x:v>0</x:v>
      </x:c>
      <x:c r="I74" s="108" t="n">
        <x:v>8</x:v>
      </x:c>
      <x:c r="J74" s="108" t="n">
        <x:v>21892</x:v>
      </x:c>
      <x:c r="K74" s="55" t="n">
        <x:v>31</x:v>
      </x:c>
      <x:c r="L74" s="55" t="n">
        <x:v>31</x:v>
      </x:c>
      <x:c r="M74" s="102" t="n">
        <x:v>0</x:v>
      </x:c>
      <x:c r="N74" s="102" t="n">
        <x:v>0</x:v>
      </x:c>
      <x:c r="O74" s="102" t="n">
        <x:v>19</x:v>
      </x:c>
      <x:c r="P74" s="56" t="str">
        <x:v>N</x:v>
      </x:c>
    </x:row>
    <x:row r="75">
      <x:c r="A75" s="54" t="n">
        <x:v>2</x:v>
      </x:c>
      <x:c r="B75" s="55" t="n">
        <x:v>32</x:v>
      </x:c>
      <x:c r="C75" s="55" t="str">
        <x:v>CIS</x:v>
      </x:c>
      <x:c r="D75" s="55" t="n">
        <x:v>0</x:v>
      </x:c>
      <x:c r="E75" s="55" t="n">
        <x:v>13</x:v>
      </x:c>
      <x:c r="F75" s="55" t="n">
        <x:v>24</x:v>
      </x:c>
      <x:c r="G75" s="108" t="n">
        <x:v>0</x:v>
      </x:c>
      <x:c r="H75" s="108" t="n">
        <x:v>0</x:v>
      </x:c>
      <x:c r="I75" s="108" t="n">
        <x:v>8</x:v>
      </x:c>
      <x:c r="J75" s="108" t="n">
        <x:v>21892</x:v>
      </x:c>
      <x:c r="K75" s="55" t="n">
        <x:v>32</x:v>
      </x:c>
      <x:c r="L75" s="55" t="n">
        <x:v>32</x:v>
      </x:c>
      <x:c r="M75" s="102" t="n">
        <x:v>0</x:v>
      </x:c>
      <x:c r="N75" s="102" t="n">
        <x:v>0</x:v>
      </x:c>
      <x:c r="O75" s="102" t="n">
        <x:v>16</x:v>
      </x:c>
      <x:c r="P75" s="56" t="str">
        <x:v>N</x:v>
      </x:c>
    </x:row>
    <x:row r="76">
      <x:c r="A76" s="54" t="n">
        <x:v>3</x:v>
      </x:c>
      <x:c r="B76" s="55" t="n">
        <x:v>1</x:v>
      </x:c>
      <x:c r="C76" s="55" t="str">
        <x:v>N-of-M</x:v>
      </x:c>
      <x:c r="D76" s="55" t="n">
        <x:v>1</x:v>
      </x:c>
      <x:c r="E76" s="55" t="n">
        <x:v>14</x:v>
      </x:c>
      <x:c r="F76" s="55" t="n">
        <x:v>32</x:v>
      </x:c>
      <x:c r="G76" s="108" t="n">
        <x:v>500</x:v>
      </x:c>
      <x:c r="H76" s="108" t="n">
        <x:v>1500</x:v>
      </x:c>
      <x:c r="I76" s="108" t="n">
        <x:v>8</x:v>
      </x:c>
      <x:c r="J76" s="108" t="n">
        <x:v>21892</x:v>
      </x:c>
      <x:c r="K76" s="55" t="n">
        <x:v>1</x:v>
      </x:c>
      <x:c r="L76" s="55" t="n">
        <x:v>1</x:v>
      </x:c>
      <x:c r="M76" s="102" t="n">
        <x:v>0</x:v>
      </x:c>
      <x:c r="N76" s="102" t="n">
        <x:v>211</x:v>
      </x:c>
      <x:c r="O76" s="102" t="n">
        <x:v>31</x:v>
      </x:c>
      <x:c r="P76" s="56" t="str">
        <x:v>Y</x:v>
      </x:c>
    </x:row>
    <x:row r="77">
      <x:c r="A77" s="54" t="n">
        <x:v>3</x:v>
      </x:c>
      <x:c r="B77" s="55" t="n">
        <x:v>2</x:v>
      </x:c>
      <x:c r="C77" s="55" t="str">
        <x:v>N-of-M</x:v>
      </x:c>
      <x:c r="D77" s="55" t="n">
        <x:v>1</x:v>
      </x:c>
      <x:c r="E77" s="55" t="n">
        <x:v>14</x:v>
      </x:c>
      <x:c r="F77" s="55" t="n">
        <x:v>32</x:v>
      </x:c>
      <x:c r="G77" s="108" t="n">
        <x:v>500</x:v>
      </x:c>
      <x:c r="H77" s="108" t="n">
        <x:v>1500</x:v>
      </x:c>
      <x:c r="I77" s="108" t="n">
        <x:v>8</x:v>
      </x:c>
      <x:c r="J77" s="108" t="n">
        <x:v>21892</x:v>
      </x:c>
      <x:c r="K77" s="55" t="n">
        <x:v>2</x:v>
      </x:c>
      <x:c r="L77" s="55" t="n">
        <x:v>2</x:v>
      </x:c>
      <x:c r="M77" s="102" t="n">
        <x:v>0</x:v>
      </x:c>
      <x:c r="N77" s="102" t="n">
        <x:v>211</x:v>
      </x:c>
      <x:c r="O77" s="102" t="n">
        <x:v>12</x:v>
      </x:c>
      <x:c r="P77" s="56" t="str">
        <x:v>Y</x:v>
      </x:c>
    </x:row>
    <x:row r="78">
      <x:c r="A78" s="54" t="n">
        <x:v>3</x:v>
      </x:c>
      <x:c r="B78" s="55" t="n">
        <x:v>3</x:v>
      </x:c>
      <x:c r="C78" s="55" t="str">
        <x:v>N-of-M</x:v>
      </x:c>
      <x:c r="D78" s="55" t="n">
        <x:v>1</x:v>
      </x:c>
      <x:c r="E78" s="55" t="n">
        <x:v>14</x:v>
      </x:c>
      <x:c r="F78" s="55" t="n">
        <x:v>32</x:v>
      </x:c>
      <x:c r="G78" s="108" t="n">
        <x:v>500</x:v>
      </x:c>
      <x:c r="H78" s="108" t="n">
        <x:v>1500</x:v>
      </x:c>
      <x:c r="I78" s="108" t="n">
        <x:v>8</x:v>
      </x:c>
      <x:c r="J78" s="108" t="n">
        <x:v>21892</x:v>
      </x:c>
      <x:c r="K78" s="55" t="n">
        <x:v>3</x:v>
      </x:c>
      <x:c r="L78" s="55" t="n">
        <x:v>3</x:v>
      </x:c>
      <x:c r="M78" s="102" t="n">
        <x:v>0</x:v>
      </x:c>
      <x:c r="N78" s="102" t="n">
        <x:v>211</x:v>
      </x:c>
      <x:c r="O78" s="102" t="n">
        <x:v>11</x:v>
      </x:c>
      <x:c r="P78" s="56" t="str">
        <x:v>Y</x:v>
      </x:c>
    </x:row>
    <x:row r="79">
      <x:c r="A79" s="54" t="n">
        <x:v>3</x:v>
      </x:c>
      <x:c r="B79" s="55" t="n">
        <x:v>4</x:v>
      </x:c>
      <x:c r="C79" s="55" t="str">
        <x:v>N-of-M</x:v>
      </x:c>
      <x:c r="D79" s="55" t="n">
        <x:v>1</x:v>
      </x:c>
      <x:c r="E79" s="55" t="n">
        <x:v>14</x:v>
      </x:c>
      <x:c r="F79" s="55" t="n">
        <x:v>32</x:v>
      </x:c>
      <x:c r="G79" s="108" t="n">
        <x:v>500</x:v>
      </x:c>
      <x:c r="H79" s="108" t="n">
        <x:v>1500</x:v>
      </x:c>
      <x:c r="I79" s="108" t="n">
        <x:v>8</x:v>
      </x:c>
      <x:c r="J79" s="108" t="n">
        <x:v>21892</x:v>
      </x:c>
      <x:c r="K79" s="55" t="n">
        <x:v>4</x:v>
      </x:c>
      <x:c r="L79" s="55" t="n">
        <x:v>4</x:v>
      </x:c>
      <x:c r="M79" s="102" t="n">
        <x:v>0</x:v>
      </x:c>
      <x:c r="N79" s="102" t="n">
        <x:v>211</x:v>
      </x:c>
      <x:c r="O79" s="102" t="n">
        <x:v>9</x:v>
      </x:c>
      <x:c r="P79" s="56" t="str">
        <x:v>Y</x:v>
      </x:c>
    </x:row>
    <x:row r="80">
      <x:c r="A80" s="54" t="n">
        <x:v>3</x:v>
      </x:c>
      <x:c r="B80" s="55" t="n">
        <x:v>5</x:v>
      </x:c>
      <x:c r="C80" s="55" t="str">
        <x:v>N-of-M</x:v>
      </x:c>
      <x:c r="D80" s="55" t="n">
        <x:v>1</x:v>
      </x:c>
      <x:c r="E80" s="55" t="n">
        <x:v>14</x:v>
      </x:c>
      <x:c r="F80" s="55" t="n">
        <x:v>32</x:v>
      </x:c>
      <x:c r="G80" s="108" t="n">
        <x:v>500</x:v>
      </x:c>
      <x:c r="H80" s="108" t="n">
        <x:v>1500</x:v>
      </x:c>
      <x:c r="I80" s="108" t="n">
        <x:v>8</x:v>
      </x:c>
      <x:c r="J80" s="108" t="n">
        <x:v>21892</x:v>
      </x:c>
      <x:c r="K80" s="55" t="n">
        <x:v>5</x:v>
      </x:c>
      <x:c r="L80" s="55" t="n">
        <x:v>5</x:v>
      </x:c>
      <x:c r="M80" s="102" t="n">
        <x:v>0</x:v>
      </x:c>
      <x:c r="N80" s="102" t="n">
        <x:v>211</x:v>
      </x:c>
      <x:c r="O80" s="102" t="n">
        <x:v>7</x:v>
      </x:c>
      <x:c r="P80" s="56" t="str">
        <x:v>Y</x:v>
      </x:c>
    </x:row>
    <x:row r="81">
      <x:c r="A81" s="54" t="n">
        <x:v>3</x:v>
      </x:c>
      <x:c r="B81" s="55" t="n">
        <x:v>6</x:v>
      </x:c>
      <x:c r="C81" s="55" t="str">
        <x:v>N-of-M</x:v>
      </x:c>
      <x:c r="D81" s="55" t="n">
        <x:v>1</x:v>
      </x:c>
      <x:c r="E81" s="55" t="n">
        <x:v>14</x:v>
      </x:c>
      <x:c r="F81" s="55" t="n">
        <x:v>32</x:v>
      </x:c>
      <x:c r="G81" s="108" t="n">
        <x:v>500</x:v>
      </x:c>
      <x:c r="H81" s="108" t="n">
        <x:v>1500</x:v>
      </x:c>
      <x:c r="I81" s="108" t="n">
        <x:v>8</x:v>
      </x:c>
      <x:c r="J81" s="108" t="n">
        <x:v>21892</x:v>
      </x:c>
      <x:c r="K81" s="55" t="n">
        <x:v>6</x:v>
      </x:c>
      <x:c r="L81" s="55" t="n">
        <x:v>6</x:v>
      </x:c>
      <x:c r="M81" s="102" t="n">
        <x:v>0</x:v>
      </x:c>
      <x:c r="N81" s="102" t="n">
        <x:v>211</x:v>
      </x:c>
      <x:c r="O81" s="102" t="n">
        <x:v>5</x:v>
      </x:c>
      <x:c r="P81" s="56" t="str">
        <x:v>Y</x:v>
      </x:c>
    </x:row>
    <x:row r="82">
      <x:c r="A82" s="54" t="n">
        <x:v>3</x:v>
      </x:c>
      <x:c r="B82" s="55" t="n">
        <x:v>7</x:v>
      </x:c>
      <x:c r="C82" s="55" t="str">
        <x:v>N-of-M</x:v>
      </x:c>
      <x:c r="D82" s="55" t="n">
        <x:v>1</x:v>
      </x:c>
      <x:c r="E82" s="55" t="n">
        <x:v>14</x:v>
      </x:c>
      <x:c r="F82" s="55" t="n">
        <x:v>32</x:v>
      </x:c>
      <x:c r="G82" s="108" t="n">
        <x:v>500</x:v>
      </x:c>
      <x:c r="H82" s="108" t="n">
        <x:v>1500</x:v>
      </x:c>
      <x:c r="I82" s="108" t="n">
        <x:v>8</x:v>
      </x:c>
      <x:c r="J82" s="108" t="n">
        <x:v>21892</x:v>
      </x:c>
      <x:c r="K82" s="55" t="n">
        <x:v>7</x:v>
      </x:c>
      <x:c r="L82" s="55" t="n">
        <x:v>7</x:v>
      </x:c>
      <x:c r="M82" s="102" t="n">
        <x:v>0</x:v>
      </x:c>
      <x:c r="N82" s="102" t="n">
        <x:v>211</x:v>
      </x:c>
      <x:c r="O82" s="102" t="n">
        <x:v>3</x:v>
      </x:c>
      <x:c r="P82" s="56" t="str">
        <x:v>Y</x:v>
      </x:c>
    </x:row>
    <x:row r="83">
      <x:c r="A83" s="54" t="n">
        <x:v>3</x:v>
      </x:c>
      <x:c r="B83" s="55" t="n">
        <x:v>8</x:v>
      </x:c>
      <x:c r="C83" s="55" t="str">
        <x:v>N-of-M</x:v>
      </x:c>
      <x:c r="D83" s="55" t="n">
        <x:v>1</x:v>
      </x:c>
      <x:c r="E83" s="55" t="n">
        <x:v>14</x:v>
      </x:c>
      <x:c r="F83" s="55" t="n">
        <x:v>32</x:v>
      </x:c>
      <x:c r="G83" s="108" t="n">
        <x:v>500</x:v>
      </x:c>
      <x:c r="H83" s="108" t="n">
        <x:v>1500</x:v>
      </x:c>
      <x:c r="I83" s="108" t="n">
        <x:v>8</x:v>
      </x:c>
      <x:c r="J83" s="108" t="n">
        <x:v>21892</x:v>
      </x:c>
      <x:c r="K83" s="55" t="n">
        <x:v>8</x:v>
      </x:c>
      <x:c r="L83" s="55" t="n">
        <x:v>8</x:v>
      </x:c>
      <x:c r="M83" s="102" t="n">
        <x:v>0</x:v>
      </x:c>
      <x:c r="N83" s="102" t="n">
        <x:v>211</x:v>
      </x:c>
      <x:c r="O83" s="102" t="n">
        <x:v>1</x:v>
      </x:c>
      <x:c r="P83" s="56" t="str">
        <x:v>Y</x:v>
      </x:c>
    </x:row>
    <x:row r="84">
      <x:c r="A84" s="54" t="n">
        <x:v>3</x:v>
      </x:c>
      <x:c r="B84" s="55" t="n">
        <x:v>9</x:v>
      </x:c>
      <x:c r="C84" s="55" t="str">
        <x:v>N-of-M</x:v>
      </x:c>
      <x:c r="D84" s="55" t="n">
        <x:v>1</x:v>
      </x:c>
      <x:c r="E84" s="55" t="n">
        <x:v>14</x:v>
      </x:c>
      <x:c r="F84" s="55" t="n">
        <x:v>32</x:v>
      </x:c>
      <x:c r="G84" s="108" t="n">
        <x:v>500</x:v>
      </x:c>
      <x:c r="H84" s="108" t="n">
        <x:v>1500</x:v>
      </x:c>
      <x:c r="I84" s="108" t="n">
        <x:v>8</x:v>
      </x:c>
      <x:c r="J84" s="108" t="n">
        <x:v>21892</x:v>
      </x:c>
      <x:c r="K84" s="55" t="n">
        <x:v>9</x:v>
      </x:c>
      <x:c r="L84" s="55" t="n">
        <x:v>9</x:v>
      </x:c>
      <x:c r="M84" s="102" t="n">
        <x:v>0</x:v>
      </x:c>
      <x:c r="N84" s="102" t="n">
        <x:v>211</x:v>
      </x:c>
      <x:c r="O84" s="102" t="n">
        <x:v>0</x:v>
      </x:c>
      <x:c r="P84" s="56" t="str">
        <x:v>Y</x:v>
      </x:c>
    </x:row>
    <x:row r="85">
      <x:c r="A85" s="54" t="n">
        <x:v>3</x:v>
      </x:c>
      <x:c r="B85" s="55" t="n">
        <x:v>10</x:v>
      </x:c>
      <x:c r="C85" s="55" t="str">
        <x:v>N-of-M</x:v>
      </x:c>
      <x:c r="D85" s="55" t="n">
        <x:v>1</x:v>
      </x:c>
      <x:c r="E85" s="55" t="n">
        <x:v>14</x:v>
      </x:c>
      <x:c r="F85" s="55" t="n">
        <x:v>32</x:v>
      </x:c>
      <x:c r="G85" s="108" t="n">
        <x:v>500</x:v>
      </x:c>
      <x:c r="H85" s="108" t="n">
        <x:v>1500</x:v>
      </x:c>
      <x:c r="I85" s="108" t="n">
        <x:v>8</x:v>
      </x:c>
      <x:c r="J85" s="108" t="n">
        <x:v>21892</x:v>
      </x:c>
      <x:c r="K85" s="55" t="n">
        <x:v>10</x:v>
      </x:c>
      <x:c r="L85" s="55" t="n">
        <x:v>10</x:v>
      </x:c>
      <x:c r="M85" s="102" t="n">
        <x:v>0</x:v>
      </x:c>
      <x:c r="N85" s="102" t="n">
        <x:v>211</x:v>
      </x:c>
      <x:c r="O85" s="102" t="n">
        <x:v>2</x:v>
      </x:c>
      <x:c r="P85" s="56" t="str">
        <x:v>Y</x:v>
      </x:c>
    </x:row>
    <x:row r="86">
      <x:c r="A86" s="54" t="n">
        <x:v>3</x:v>
      </x:c>
      <x:c r="B86" s="55" t="n">
        <x:v>11</x:v>
      </x:c>
      <x:c r="C86" s="55" t="str">
        <x:v>N-of-M</x:v>
      </x:c>
      <x:c r="D86" s="55" t="n">
        <x:v>1</x:v>
      </x:c>
      <x:c r="E86" s="55" t="n">
        <x:v>14</x:v>
      </x:c>
      <x:c r="F86" s="55" t="n">
        <x:v>32</x:v>
      </x:c>
      <x:c r="G86" s="108" t="n">
        <x:v>500</x:v>
      </x:c>
      <x:c r="H86" s="108" t="n">
        <x:v>1500</x:v>
      </x:c>
      <x:c r="I86" s="108" t="n">
        <x:v>8</x:v>
      </x:c>
      <x:c r="J86" s="108" t="n">
        <x:v>21892</x:v>
      </x:c>
      <x:c r="K86" s="55" t="n">
        <x:v>11</x:v>
      </x:c>
      <x:c r="L86" s="55" t="n">
        <x:v>11</x:v>
      </x:c>
      <x:c r="M86" s="102" t="n">
        <x:v>0</x:v>
      </x:c>
      <x:c r="N86" s="102" t="n">
        <x:v>211</x:v>
      </x:c>
      <x:c r="O86" s="102" t="n">
        <x:v>4</x:v>
      </x:c>
      <x:c r="P86" s="56" t="str">
        <x:v>Y</x:v>
      </x:c>
    </x:row>
    <x:row r="87">
      <x:c r="A87" s="54" t="n">
        <x:v>3</x:v>
      </x:c>
      <x:c r="B87" s="55" t="n">
        <x:v>12</x:v>
      </x:c>
      <x:c r="C87" s="55" t="str">
        <x:v>N-of-M</x:v>
      </x:c>
      <x:c r="D87" s="55" t="n">
        <x:v>1</x:v>
      </x:c>
      <x:c r="E87" s="55" t="n">
        <x:v>14</x:v>
      </x:c>
      <x:c r="F87" s="55" t="n">
        <x:v>32</x:v>
      </x:c>
      <x:c r="G87" s="108" t="n">
        <x:v>500</x:v>
      </x:c>
      <x:c r="H87" s="108" t="n">
        <x:v>1500</x:v>
      </x:c>
      <x:c r="I87" s="108" t="n">
        <x:v>8</x:v>
      </x:c>
      <x:c r="J87" s="108" t="n">
        <x:v>21892</x:v>
      </x:c>
      <x:c r="K87" s="55" t="n">
        <x:v>12</x:v>
      </x:c>
      <x:c r="L87" s="55" t="n">
        <x:v>12</x:v>
      </x:c>
      <x:c r="M87" s="102" t="n">
        <x:v>0</x:v>
      </x:c>
      <x:c r="N87" s="102" t="n">
        <x:v>211</x:v>
      </x:c>
      <x:c r="O87" s="102" t="n">
        <x:v>6</x:v>
      </x:c>
      <x:c r="P87" s="56" t="str">
        <x:v>Y</x:v>
      </x:c>
    </x:row>
    <x:row r="88">
      <x:c r="A88" s="54" t="n">
        <x:v>3</x:v>
      </x:c>
      <x:c r="B88" s="55" t="n">
        <x:v>13</x:v>
      </x:c>
      <x:c r="C88" s="55" t="str">
        <x:v>N-of-M</x:v>
      </x:c>
      <x:c r="D88" s="55" t="n">
        <x:v>1</x:v>
      </x:c>
      <x:c r="E88" s="55" t="n">
        <x:v>14</x:v>
      </x:c>
      <x:c r="F88" s="55" t="n">
        <x:v>32</x:v>
      </x:c>
      <x:c r="G88" s="108" t="n">
        <x:v>500</x:v>
      </x:c>
      <x:c r="H88" s="108" t="n">
        <x:v>1500</x:v>
      </x:c>
      <x:c r="I88" s="108" t="n">
        <x:v>8</x:v>
      </x:c>
      <x:c r="J88" s="108" t="n">
        <x:v>21892</x:v>
      </x:c>
      <x:c r="K88" s="55" t="n">
        <x:v>13</x:v>
      </x:c>
      <x:c r="L88" s="55" t="n">
        <x:v>13</x:v>
      </x:c>
      <x:c r="M88" s="102" t="n">
        <x:v>0</x:v>
      </x:c>
      <x:c r="N88" s="102" t="n">
        <x:v>211</x:v>
      </x:c>
      <x:c r="O88" s="102" t="n">
        <x:v>8</x:v>
      </x:c>
      <x:c r="P88" s="56" t="str">
        <x:v>Y</x:v>
      </x:c>
    </x:row>
    <x:row r="89">
      <x:c r="A89" s="54" t="n">
        <x:v>3</x:v>
      </x:c>
      <x:c r="B89" s="55" t="n">
        <x:v>14</x:v>
      </x:c>
      <x:c r="C89" s="55" t="str">
        <x:v>N-of-M</x:v>
      </x:c>
      <x:c r="D89" s="55" t="n">
        <x:v>1</x:v>
      </x:c>
      <x:c r="E89" s="55" t="n">
        <x:v>14</x:v>
      </x:c>
      <x:c r="F89" s="55" t="n">
        <x:v>32</x:v>
      </x:c>
      <x:c r="G89" s="108" t="n">
        <x:v>500</x:v>
      </x:c>
      <x:c r="H89" s="108" t="n">
        <x:v>1500</x:v>
      </x:c>
      <x:c r="I89" s="108" t="n">
        <x:v>8</x:v>
      </x:c>
      <x:c r="J89" s="108" t="n">
        <x:v>21892</x:v>
      </x:c>
      <x:c r="K89" s="55" t="n">
        <x:v>14</x:v>
      </x:c>
      <x:c r="L89" s="55" t="n">
        <x:v>14</x:v>
      </x:c>
      <x:c r="M89" s="102" t="n">
        <x:v>0</x:v>
      </x:c>
      <x:c r="N89" s="102" t="n">
        <x:v>211</x:v>
      </x:c>
      <x:c r="O89" s="102" t="n">
        <x:v>10</x:v>
      </x:c>
      <x:c r="P89" s="56" t="str">
        <x:v>Y</x:v>
      </x:c>
    </x:row>
    <x:row r="90">
      <x:c r="A90" s="54" t="n">
        <x:v>3</x:v>
      </x:c>
      <x:c r="B90" s="55" t="n">
        <x:v>15</x:v>
      </x:c>
      <x:c r="C90" s="55" t="str">
        <x:v>N-of-M</x:v>
      </x:c>
      <x:c r="D90" s="55" t="n">
        <x:v>1</x:v>
      </x:c>
      <x:c r="E90" s="55" t="n">
        <x:v>14</x:v>
      </x:c>
      <x:c r="F90" s="55" t="n">
        <x:v>32</x:v>
      </x:c>
      <x:c r="G90" s="108" t="n">
        <x:v>500</x:v>
      </x:c>
      <x:c r="H90" s="108" t="n">
        <x:v>1500</x:v>
      </x:c>
      <x:c r="I90" s="108" t="n">
        <x:v>8</x:v>
      </x:c>
      <x:c r="J90" s="108" t="n">
        <x:v>21892</x:v>
      </x:c>
      <x:c r="K90" s="55" t="n">
        <x:v>15</x:v>
      </x:c>
      <x:c r="L90" s="55" t="n">
        <x:v>15</x:v>
      </x:c>
      <x:c r="M90" s="102" t="n">
        <x:v>0</x:v>
      </x:c>
      <x:c r="N90" s="102" t="n">
        <x:v>211</x:v>
      </x:c>
      <x:c r="O90" s="102" t="n">
        <x:v>13</x:v>
      </x:c>
      <x:c r="P90" s="56" t="str">
        <x:v>Y</x:v>
      </x:c>
    </x:row>
    <x:row r="91">
      <x:c r="A91" s="54" t="n">
        <x:v>3</x:v>
      </x:c>
      <x:c r="B91" s="55" t="n">
        <x:v>16</x:v>
      </x:c>
      <x:c r="C91" s="55" t="str">
        <x:v>N-of-M</x:v>
      </x:c>
      <x:c r="D91" s="55" t="n">
        <x:v>1</x:v>
      </x:c>
      <x:c r="E91" s="55" t="n">
        <x:v>14</x:v>
      </x:c>
      <x:c r="F91" s="55" t="n">
        <x:v>32</x:v>
      </x:c>
      <x:c r="G91" s="108" t="n">
        <x:v>1500</x:v>
      </x:c>
      <x:c r="H91" s="108" t="n">
        <x:v>1500</x:v>
      </x:c>
      <x:c r="I91" s="108" t="n">
        <x:v>8</x:v>
      </x:c>
      <x:c r="J91" s="108" t="n">
        <x:v>21892</x:v>
      </x:c>
      <x:c r="K91" s="55" t="n">
        <x:v>16</x:v>
      </x:c>
      <x:c r="L91" s="55" t="n">
        <x:v>16</x:v>
      </x:c>
      <x:c r="M91" s="102" t="n">
        <x:v>211</x:v>
      </x:c>
      <x:c r="N91" s="102" t="n">
        <x:v>211</x:v>
      </x:c>
      <x:c r="O91" s="102" t="n">
        <x:v>15</x:v>
      </x:c>
      <x:c r="P91" s="56" t="str">
        <x:v>Y</x:v>
      </x:c>
    </x:row>
    <x:row r="92">
      <x:c r="A92" s="54" t="n">
        <x:v>3</x:v>
      </x:c>
      <x:c r="B92" s="55" t="n">
        <x:v>17</x:v>
      </x:c>
      <x:c r="C92" s="55" t="str">
        <x:v>N-of-M</x:v>
      </x:c>
      <x:c r="D92" s="55" t="n">
        <x:v>1</x:v>
      </x:c>
      <x:c r="E92" s="55" t="n">
        <x:v>14</x:v>
      </x:c>
      <x:c r="F92" s="55" t="n">
        <x:v>32</x:v>
      </x:c>
      <x:c r="G92" s="108" t="n">
        <x:v>500</x:v>
      </x:c>
      <x:c r="H92" s="108" t="n">
        <x:v>1500</x:v>
      </x:c>
      <x:c r="I92" s="108" t="n">
        <x:v>8</x:v>
      </x:c>
      <x:c r="J92" s="108" t="n">
        <x:v>21892</x:v>
      </x:c>
      <x:c r="K92" s="55" t="n">
        <x:v>17</x:v>
      </x:c>
      <x:c r="L92" s="55" t="n">
        <x:v>17</x:v>
      </x:c>
      <x:c r="M92" s="102" t="n">
        <x:v>0</x:v>
      </x:c>
      <x:c r="N92" s="102" t="n">
        <x:v>211</x:v>
      </x:c>
      <x:c r="O92" s="102" t="n">
        <x:v>17</x:v>
      </x:c>
      <x:c r="P92" s="56" t="str">
        <x:v>Y</x:v>
      </x:c>
    </x:row>
    <x:row r="93">
      <x:c r="A93" s="54" t="n">
        <x:v>3</x:v>
      </x:c>
      <x:c r="B93" s="55" t="n">
        <x:v>18</x:v>
      </x:c>
      <x:c r="C93" s="55" t="str">
        <x:v>N-of-M</x:v>
      </x:c>
      <x:c r="D93" s="55" t="n">
        <x:v>1</x:v>
      </x:c>
      <x:c r="E93" s="55" t="n">
        <x:v>14</x:v>
      </x:c>
      <x:c r="F93" s="55" t="n">
        <x:v>32</x:v>
      </x:c>
      <x:c r="G93" s="108" t="n">
        <x:v>500</x:v>
      </x:c>
      <x:c r="H93" s="108" t="n">
        <x:v>1500</x:v>
      </x:c>
      <x:c r="I93" s="108" t="n">
        <x:v>8</x:v>
      </x:c>
      <x:c r="J93" s="108" t="n">
        <x:v>21892</x:v>
      </x:c>
      <x:c r="K93" s="55" t="n">
        <x:v>18</x:v>
      </x:c>
      <x:c r="L93" s="55" t="n">
        <x:v>18</x:v>
      </x:c>
      <x:c r="M93" s="102" t="n">
        <x:v>0</x:v>
      </x:c>
      <x:c r="N93" s="102" t="n">
        <x:v>211</x:v>
      </x:c>
      <x:c r="O93" s="102" t="n">
        <x:v>18</x:v>
      </x:c>
      <x:c r="P93" s="56" t="str">
        <x:v>Y</x:v>
      </x:c>
    </x:row>
    <x:row r="94">
      <x:c r="A94" s="54" t="n">
        <x:v>3</x:v>
      </x:c>
      <x:c r="B94" s="55" t="n">
        <x:v>19</x:v>
      </x:c>
      <x:c r="C94" s="55" t="str">
        <x:v>N-of-M</x:v>
      </x:c>
      <x:c r="D94" s="55" t="n">
        <x:v>1</x:v>
      </x:c>
      <x:c r="E94" s="55" t="n">
        <x:v>14</x:v>
      </x:c>
      <x:c r="F94" s="55" t="n">
        <x:v>32</x:v>
      </x:c>
      <x:c r="G94" s="108" t="n">
        <x:v>500</x:v>
      </x:c>
      <x:c r="H94" s="108" t="n">
        <x:v>1500</x:v>
      </x:c>
      <x:c r="I94" s="108" t="n">
        <x:v>8</x:v>
      </x:c>
      <x:c r="J94" s="108" t="n">
        <x:v>21892</x:v>
      </x:c>
      <x:c r="K94" s="55" t="n">
        <x:v>19</x:v>
      </x:c>
      <x:c r="L94" s="55" t="n">
        <x:v>19</x:v>
      </x:c>
      <x:c r="M94" s="102" t="n">
        <x:v>0</x:v>
      </x:c>
      <x:c r="N94" s="102" t="n">
        <x:v>211</x:v>
      </x:c>
      <x:c r="O94" s="102" t="n">
        <x:v>20</x:v>
      </x:c>
      <x:c r="P94" s="56" t="str">
        <x:v>Y</x:v>
      </x:c>
    </x:row>
    <x:row r="95">
      <x:c r="A95" s="54" t="n">
        <x:v>3</x:v>
      </x:c>
      <x:c r="B95" s="55" t="n">
        <x:v>20</x:v>
      </x:c>
      <x:c r="C95" s="55" t="str">
        <x:v>N-of-M</x:v>
      </x:c>
      <x:c r="D95" s="55" t="n">
        <x:v>1</x:v>
      </x:c>
      <x:c r="E95" s="55" t="n">
        <x:v>14</x:v>
      </x:c>
      <x:c r="F95" s="55" t="n">
        <x:v>32</x:v>
      </x:c>
      <x:c r="G95" s="108" t="n">
        <x:v>500</x:v>
      </x:c>
      <x:c r="H95" s="108" t="n">
        <x:v>1500</x:v>
      </x:c>
      <x:c r="I95" s="108" t="n">
        <x:v>8</x:v>
      </x:c>
      <x:c r="J95" s="108" t="n">
        <x:v>21892</x:v>
      </x:c>
      <x:c r="K95" s="55" t="n">
        <x:v>20</x:v>
      </x:c>
      <x:c r="L95" s="55" t="n">
        <x:v>20</x:v>
      </x:c>
      <x:c r="M95" s="102" t="n">
        <x:v>0</x:v>
      </x:c>
      <x:c r="N95" s="102" t="n">
        <x:v>211</x:v>
      </x:c>
      <x:c r="O95" s="102" t="n">
        <x:v>22</x:v>
      </x:c>
      <x:c r="P95" s="56" t="str">
        <x:v>Y</x:v>
      </x:c>
    </x:row>
    <x:row r="96">
      <x:c r="A96" s="54" t="n">
        <x:v>3</x:v>
      </x:c>
      <x:c r="B96" s="55" t="n">
        <x:v>21</x:v>
      </x:c>
      <x:c r="C96" s="55" t="str">
        <x:v>N-of-M</x:v>
      </x:c>
      <x:c r="D96" s="55" t="n">
        <x:v>1</x:v>
      </x:c>
      <x:c r="E96" s="55" t="n">
        <x:v>14</x:v>
      </x:c>
      <x:c r="F96" s="55" t="n">
        <x:v>32</x:v>
      </x:c>
      <x:c r="G96" s="108" t="n">
        <x:v>500</x:v>
      </x:c>
      <x:c r="H96" s="108" t="n">
        <x:v>1500</x:v>
      </x:c>
      <x:c r="I96" s="108" t="n">
        <x:v>8</x:v>
      </x:c>
      <x:c r="J96" s="108" t="n">
        <x:v>21892</x:v>
      </x:c>
      <x:c r="K96" s="55" t="n">
        <x:v>21</x:v>
      </x:c>
      <x:c r="L96" s="55" t="n">
        <x:v>21</x:v>
      </x:c>
      <x:c r="M96" s="102" t="n">
        <x:v>0</x:v>
      </x:c>
      <x:c r="N96" s="102" t="n">
        <x:v>211</x:v>
      </x:c>
      <x:c r="O96" s="102" t="n">
        <x:v>24</x:v>
      </x:c>
      <x:c r="P96" s="56" t="str">
        <x:v>Y</x:v>
      </x:c>
    </x:row>
    <x:row r="97">
      <x:c r="A97" s="54" t="n">
        <x:v>3</x:v>
      </x:c>
      <x:c r="B97" s="55" t="n">
        <x:v>22</x:v>
      </x:c>
      <x:c r="C97" s="55" t="str">
        <x:v>N-of-M</x:v>
      </x:c>
      <x:c r="D97" s="55" t="n">
        <x:v>1</x:v>
      </x:c>
      <x:c r="E97" s="55" t="n">
        <x:v>14</x:v>
      </x:c>
      <x:c r="F97" s="55" t="n">
        <x:v>32</x:v>
      </x:c>
      <x:c r="G97" s="108" t="n">
        <x:v>500</x:v>
      </x:c>
      <x:c r="H97" s="108" t="n">
        <x:v>1500</x:v>
      </x:c>
      <x:c r="I97" s="108" t="n">
        <x:v>8</x:v>
      </x:c>
      <x:c r="J97" s="108" t="n">
        <x:v>21892</x:v>
      </x:c>
      <x:c r="K97" s="55" t="n">
        <x:v>22</x:v>
      </x:c>
      <x:c r="L97" s="55" t="n">
        <x:v>22</x:v>
      </x:c>
      <x:c r="M97" s="102" t="n">
        <x:v>0</x:v>
      </x:c>
      <x:c r="N97" s="102" t="n">
        <x:v>211</x:v>
      </x:c>
      <x:c r="O97" s="102" t="n">
        <x:v>26</x:v>
      </x:c>
      <x:c r="P97" s="56" t="str">
        <x:v>Y</x:v>
      </x:c>
    </x:row>
    <x:row r="98">
      <x:c r="A98" s="54" t="n">
        <x:v>3</x:v>
      </x:c>
      <x:c r="B98" s="55" t="n">
        <x:v>23</x:v>
      </x:c>
      <x:c r="C98" s="55" t="str">
        <x:v>N-of-M</x:v>
      </x:c>
      <x:c r="D98" s="55" t="n">
        <x:v>1</x:v>
      </x:c>
      <x:c r="E98" s="55" t="n">
        <x:v>14</x:v>
      </x:c>
      <x:c r="F98" s="55" t="n">
        <x:v>32</x:v>
      </x:c>
      <x:c r="G98" s="108" t="n">
        <x:v>500</x:v>
      </x:c>
      <x:c r="H98" s="108" t="n">
        <x:v>1500</x:v>
      </x:c>
      <x:c r="I98" s="108" t="n">
        <x:v>8</x:v>
      </x:c>
      <x:c r="J98" s="108" t="n">
        <x:v>21892</x:v>
      </x:c>
      <x:c r="K98" s="55" t="n">
        <x:v>23</x:v>
      </x:c>
      <x:c r="L98" s="55" t="n">
        <x:v>23</x:v>
      </x:c>
      <x:c r="M98" s="102" t="n">
        <x:v>0</x:v>
      </x:c>
      <x:c r="N98" s="102" t="n">
        <x:v>211</x:v>
      </x:c>
      <x:c r="O98" s="102" t="n">
        <x:v>28</x:v>
      </x:c>
      <x:c r="P98" s="56" t="str">
        <x:v>Y</x:v>
      </x:c>
    </x:row>
    <x:row r="99">
      <x:c r="A99" s="54" t="n">
        <x:v>3</x:v>
      </x:c>
      <x:c r="B99" s="55" t="n">
        <x:v>24</x:v>
      </x:c>
      <x:c r="C99" s="55" t="str">
        <x:v>N-of-M</x:v>
      </x:c>
      <x:c r="D99" s="55" t="n">
        <x:v>1</x:v>
      </x:c>
      <x:c r="E99" s="55" t="n">
        <x:v>14</x:v>
      </x:c>
      <x:c r="F99" s="55" t="n">
        <x:v>32</x:v>
      </x:c>
      <x:c r="G99" s="108" t="n">
        <x:v>500</x:v>
      </x:c>
      <x:c r="H99" s="108" t="n">
        <x:v>1500</x:v>
      </x:c>
      <x:c r="I99" s="108" t="n">
        <x:v>8</x:v>
      </x:c>
      <x:c r="J99" s="108" t="n">
        <x:v>21892</x:v>
      </x:c>
      <x:c r="K99" s="55" t="n">
        <x:v>24</x:v>
      </x:c>
      <x:c r="L99" s="55" t="n">
        <x:v>24</x:v>
      </x:c>
      <x:c r="M99" s="102" t="n">
        <x:v>0</x:v>
      </x:c>
      <x:c r="N99" s="102" t="n">
        <x:v>211</x:v>
      </x:c>
      <x:c r="O99" s="102" t="n">
        <x:v>30</x:v>
      </x:c>
      <x:c r="P99" s="56" t="str">
        <x:v>Y</x:v>
      </x:c>
    </x:row>
    <x:row r="100">
      <x:c r="A100" s="54" t="n">
        <x:v>3</x:v>
      </x:c>
      <x:c r="B100" s="55" t="n">
        <x:v>25</x:v>
      </x:c>
      <x:c r="C100" s="55" t="str">
        <x:v>N-of-M</x:v>
      </x:c>
      <x:c r="D100" s="55" t="n">
        <x:v>1</x:v>
      </x:c>
      <x:c r="E100" s="55" t="n">
        <x:v>14</x:v>
      </x:c>
      <x:c r="F100" s="55" t="n">
        <x:v>32</x:v>
      </x:c>
      <x:c r="G100" s="108" t="n">
        <x:v>500</x:v>
      </x:c>
      <x:c r="H100" s="108" t="n">
        <x:v>1500</x:v>
      </x:c>
      <x:c r="I100" s="108" t="n">
        <x:v>8</x:v>
      </x:c>
      <x:c r="J100" s="108" t="n">
        <x:v>21892</x:v>
      </x:c>
      <x:c r="K100" s="55" t="n">
        <x:v>25</x:v>
      </x:c>
      <x:c r="L100" s="55" t="n">
        <x:v>25</x:v>
      </x:c>
      <x:c r="M100" s="102" t="n">
        <x:v>0</x:v>
      </x:c>
      <x:c r="N100" s="102" t="n">
        <x:v>211</x:v>
      </x:c>
      <x:c r="O100" s="102" t="n">
        <x:v>14</x:v>
      </x:c>
      <x:c r="P100" s="56" t="str">
        <x:v>Y</x:v>
      </x:c>
    </x:row>
    <x:row r="101">
      <x:c r="A101" s="54" t="n">
        <x:v>3</x:v>
      </x:c>
      <x:c r="B101" s="55" t="n">
        <x:v>26</x:v>
      </x:c>
      <x:c r="C101" s="55" t="str">
        <x:v>N-of-M</x:v>
      </x:c>
      <x:c r="D101" s="55" t="n">
        <x:v>1</x:v>
      </x:c>
      <x:c r="E101" s="55" t="n">
        <x:v>14</x:v>
      </x:c>
      <x:c r="F101" s="55" t="n">
        <x:v>32</x:v>
      </x:c>
      <x:c r="G101" s="108" t="n">
        <x:v>500</x:v>
      </x:c>
      <x:c r="H101" s="108" t="n">
        <x:v>1500</x:v>
      </x:c>
      <x:c r="I101" s="108" t="n">
        <x:v>8</x:v>
      </x:c>
      <x:c r="J101" s="108" t="n">
        <x:v>21892</x:v>
      </x:c>
      <x:c r="K101" s="55" t="n">
        <x:v>26</x:v>
      </x:c>
      <x:c r="L101" s="55" t="n">
        <x:v>26</x:v>
      </x:c>
      <x:c r="M101" s="102" t="n">
        <x:v>0</x:v>
      </x:c>
      <x:c r="N101" s="102" t="n">
        <x:v>211</x:v>
      </x:c>
      <x:c r="O101" s="102" t="n">
        <x:v>29</x:v>
      </x:c>
      <x:c r="P101" s="56" t="str">
        <x:v>Y</x:v>
      </x:c>
    </x:row>
    <x:row r="102">
      <x:c r="A102" s="54" t="n">
        <x:v>3</x:v>
      </x:c>
      <x:c r="B102" s="55" t="n">
        <x:v>27</x:v>
      </x:c>
      <x:c r="C102" s="55" t="str">
        <x:v>N-of-M</x:v>
      </x:c>
      <x:c r="D102" s="55" t="n">
        <x:v>1</x:v>
      </x:c>
      <x:c r="E102" s="55" t="n">
        <x:v>14</x:v>
      </x:c>
      <x:c r="F102" s="55" t="n">
        <x:v>32</x:v>
      </x:c>
      <x:c r="G102" s="108" t="n">
        <x:v>500</x:v>
      </x:c>
      <x:c r="H102" s="108" t="n">
        <x:v>1500</x:v>
      </x:c>
      <x:c r="I102" s="108" t="n">
        <x:v>8</x:v>
      </x:c>
      <x:c r="J102" s="108" t="n">
        <x:v>21892</x:v>
      </x:c>
      <x:c r="K102" s="55" t="n">
        <x:v>27</x:v>
      </x:c>
      <x:c r="L102" s="55" t="n">
        <x:v>27</x:v>
      </x:c>
      <x:c r="M102" s="102" t="n">
        <x:v>0</x:v>
      </x:c>
      <x:c r="N102" s="102" t="n">
        <x:v>211</x:v>
      </x:c>
      <x:c r="O102" s="102" t="n">
        <x:v>27</x:v>
      </x:c>
      <x:c r="P102" s="56" t="str">
        <x:v>Y</x:v>
      </x:c>
    </x:row>
    <x:row r="103">
      <x:c r="A103" s="54" t="n">
        <x:v>3</x:v>
      </x:c>
      <x:c r="B103" s="55" t="n">
        <x:v>28</x:v>
      </x:c>
      <x:c r="C103" s="55" t="str">
        <x:v>N-of-M</x:v>
      </x:c>
      <x:c r="D103" s="55" t="n">
        <x:v>1</x:v>
      </x:c>
      <x:c r="E103" s="55" t="n">
        <x:v>14</x:v>
      </x:c>
      <x:c r="F103" s="55" t="n">
        <x:v>32</x:v>
      </x:c>
      <x:c r="G103" s="108" t="n">
        <x:v>500</x:v>
      </x:c>
      <x:c r="H103" s="108" t="n">
        <x:v>1500</x:v>
      </x:c>
      <x:c r="I103" s="108" t="n">
        <x:v>8</x:v>
      </x:c>
      <x:c r="J103" s="108" t="n">
        <x:v>21892</x:v>
      </x:c>
      <x:c r="K103" s="55" t="n">
        <x:v>28</x:v>
      </x:c>
      <x:c r="L103" s="55" t="n">
        <x:v>28</x:v>
      </x:c>
      <x:c r="M103" s="102" t="n">
        <x:v>0</x:v>
      </x:c>
      <x:c r="N103" s="102" t="n">
        <x:v>211</x:v>
      </x:c>
      <x:c r="O103" s="102" t="n">
        <x:v>25</x:v>
      </x:c>
      <x:c r="P103" s="56" t="str">
        <x:v>Y</x:v>
      </x:c>
    </x:row>
    <x:row r="104">
      <x:c r="A104" s="54" t="n">
        <x:v>3</x:v>
      </x:c>
      <x:c r="B104" s="55" t="n">
        <x:v>29</x:v>
      </x:c>
      <x:c r="C104" s="55" t="str">
        <x:v>N-of-M</x:v>
      </x:c>
      <x:c r="D104" s="55" t="n">
        <x:v>1</x:v>
      </x:c>
      <x:c r="E104" s="55" t="n">
        <x:v>14</x:v>
      </x:c>
      <x:c r="F104" s="55" t="n">
        <x:v>32</x:v>
      </x:c>
      <x:c r="G104" s="108" t="n">
        <x:v>500</x:v>
      </x:c>
      <x:c r="H104" s="108" t="n">
        <x:v>1500</x:v>
      </x:c>
      <x:c r="I104" s="108" t="n">
        <x:v>8</x:v>
      </x:c>
      <x:c r="J104" s="108" t="n">
        <x:v>21892</x:v>
      </x:c>
      <x:c r="K104" s="55" t="n">
        <x:v>29</x:v>
      </x:c>
      <x:c r="L104" s="55" t="n">
        <x:v>29</x:v>
      </x:c>
      <x:c r="M104" s="102" t="n">
        <x:v>0</x:v>
      </x:c>
      <x:c r="N104" s="102" t="n">
        <x:v>211</x:v>
      </x:c>
      <x:c r="O104" s="102" t="n">
        <x:v>23</x:v>
      </x:c>
      <x:c r="P104" s="56" t="str">
        <x:v>Y</x:v>
      </x:c>
    </x:row>
    <x:row r="105">
      <x:c r="A105" s="54" t="n">
        <x:v>3</x:v>
      </x:c>
      <x:c r="B105" s="55" t="n">
        <x:v>30</x:v>
      </x:c>
      <x:c r="C105" s="55" t="str">
        <x:v>N-of-M</x:v>
      </x:c>
      <x:c r="D105" s="55" t="n">
        <x:v>1</x:v>
      </x:c>
      <x:c r="E105" s="55" t="n">
        <x:v>14</x:v>
      </x:c>
      <x:c r="F105" s="55" t="n">
        <x:v>32</x:v>
      </x:c>
      <x:c r="G105" s="108" t="n">
        <x:v>500</x:v>
      </x:c>
      <x:c r="H105" s="108" t="n">
        <x:v>1500</x:v>
      </x:c>
      <x:c r="I105" s="108" t="n">
        <x:v>8</x:v>
      </x:c>
      <x:c r="J105" s="108" t="n">
        <x:v>21892</x:v>
      </x:c>
      <x:c r="K105" s="55" t="n">
        <x:v>30</x:v>
      </x:c>
      <x:c r="L105" s="55" t="n">
        <x:v>30</x:v>
      </x:c>
      <x:c r="M105" s="102" t="n">
        <x:v>0</x:v>
      </x:c>
      <x:c r="N105" s="102" t="n">
        <x:v>211</x:v>
      </x:c>
      <x:c r="O105" s="102" t="n">
        <x:v>21</x:v>
      </x:c>
      <x:c r="P105" s="56" t="str">
        <x:v>Y</x:v>
      </x:c>
    </x:row>
    <x:row r="106">
      <x:c r="A106" s="54" t="n">
        <x:v>3</x:v>
      </x:c>
      <x:c r="B106" s="55" t="n">
        <x:v>31</x:v>
      </x:c>
      <x:c r="C106" s="55" t="str">
        <x:v>N-of-M</x:v>
      </x:c>
      <x:c r="D106" s="55" t="n">
        <x:v>1</x:v>
      </x:c>
      <x:c r="E106" s="55" t="n">
        <x:v>14</x:v>
      </x:c>
      <x:c r="F106" s="55" t="n">
        <x:v>32</x:v>
      </x:c>
      <x:c r="G106" s="108" t="n">
        <x:v>500</x:v>
      </x:c>
      <x:c r="H106" s="108" t="n">
        <x:v>1500</x:v>
      </x:c>
      <x:c r="I106" s="108" t="n">
        <x:v>8</x:v>
      </x:c>
      <x:c r="J106" s="108" t="n">
        <x:v>21892</x:v>
      </x:c>
      <x:c r="K106" s="55" t="n">
        <x:v>31</x:v>
      </x:c>
      <x:c r="L106" s="55" t="n">
        <x:v>31</x:v>
      </x:c>
      <x:c r="M106" s="102" t="n">
        <x:v>0</x:v>
      </x:c>
      <x:c r="N106" s="102" t="n">
        <x:v>211</x:v>
      </x:c>
      <x:c r="O106" s="102" t="n">
        <x:v>19</x:v>
      </x:c>
      <x:c r="P106" s="56" t="str">
        <x:v>Y</x:v>
      </x:c>
    </x:row>
    <x:row r="107">
      <x:c r="A107" s="54" t="n">
        <x:v>3</x:v>
      </x:c>
      <x:c r="B107" s="55" t="n">
        <x:v>32</x:v>
      </x:c>
      <x:c r="C107" s="55" t="str">
        <x:v>N-of-M</x:v>
      </x:c>
      <x:c r="D107" s="55" t="n">
        <x:v>1</x:v>
      </x:c>
      <x:c r="E107" s="55" t="n">
        <x:v>14</x:v>
      </x:c>
      <x:c r="F107" s="55" t="n">
        <x:v>32</x:v>
      </x:c>
      <x:c r="G107" s="108" t="n">
        <x:v>500</x:v>
      </x:c>
      <x:c r="H107" s="108" t="n">
        <x:v>1500</x:v>
      </x:c>
      <x:c r="I107" s="108" t="n">
        <x:v>8</x:v>
      </x:c>
      <x:c r="J107" s="108" t="n">
        <x:v>21892</x:v>
      </x:c>
      <x:c r="K107" s="55" t="n">
        <x:v>32</x:v>
      </x:c>
      <x:c r="L107" s="55" t="n">
        <x:v>32</x:v>
      </x:c>
      <x:c r="M107" s="102" t="n">
        <x:v>0</x:v>
      </x:c>
      <x:c r="N107" s="102" t="n">
        <x:v>211</x:v>
      </x:c>
      <x:c r="O107" s="102" t="n">
        <x:v>16</x:v>
      </x:c>
      <x:c r="P107" s="56" t="str">
        <x:v>Y</x:v>
      </x:c>
    </x:row>
    <x:row r="108">
      <x:c r="A108" s="54" t="n">
        <x:v>4</x:v>
      </x:c>
      <x:c r="B108" s="55" t="n">
        <x:v>1</x:v>
      </x:c>
      <x:c r="C108" s="55" t="str">
        <x:v>CIS</x:v>
      </x:c>
      <x:c r="D108" s="55" t="n">
        <x:v>0</x:v>
      </x:c>
      <x:c r="E108" s="55" t="n">
        <x:v>255</x:v>
      </x:c>
      <x:c r="F108" s="55" t="n">
        <x:v>32</x:v>
      </x:c>
      <x:c r="G108" s="108" t="n">
        <x:v>500</x:v>
      </x:c>
      <x:c r="H108" s="108" t="n">
        <x:v>1500</x:v>
      </x:c>
      <x:c r="I108" s="108" t="n">
        <x:v>8</x:v>
      </x:c>
      <x:c r="J108" s="108" t="n">
        <x:v>21892</x:v>
      </x:c>
      <x:c r="K108" s="55" t="n">
        <x:v>1</x:v>
      </x:c>
      <x:c r="L108" s="55" t="n">
        <x:v>1</x:v>
      </x:c>
      <x:c r="M108" s="102" t="n">
        <x:v>0</x:v>
      </x:c>
      <x:c r="N108" s="102" t="n">
        <x:v>211</x:v>
      </x:c>
      <x:c r="O108" s="102" t="n">
        <x:v>31</x:v>
      </x:c>
      <x:c r="P108" s="56" t="str">
        <x:v>Y</x:v>
      </x:c>
    </x:row>
    <x:row r="109">
      <x:c r="A109" s="54" t="n">
        <x:v>4</x:v>
      </x:c>
      <x:c r="B109" s="55" t="n">
        <x:v>2</x:v>
      </x:c>
      <x:c r="C109" s="55" t="str">
        <x:v>CIS</x:v>
      </x:c>
      <x:c r="D109" s="55" t="n">
        <x:v>0</x:v>
      </x:c>
      <x:c r="E109" s="55" t="n">
        <x:v>255</x:v>
      </x:c>
      <x:c r="F109" s="55" t="n">
        <x:v>32</x:v>
      </x:c>
      <x:c r="G109" s="108" t="n">
        <x:v>500</x:v>
      </x:c>
      <x:c r="H109" s="108" t="n">
        <x:v>1500</x:v>
      </x:c>
      <x:c r="I109" s="108" t="n">
        <x:v>8</x:v>
      </x:c>
      <x:c r="J109" s="108" t="n">
        <x:v>21892</x:v>
      </x:c>
      <x:c r="K109" s="55" t="n">
        <x:v>2</x:v>
      </x:c>
      <x:c r="L109" s="55" t="n">
        <x:v>2</x:v>
      </x:c>
      <x:c r="M109" s="102" t="n">
        <x:v>0</x:v>
      </x:c>
      <x:c r="N109" s="102" t="n">
        <x:v>211</x:v>
      </x:c>
      <x:c r="O109" s="102" t="n">
        <x:v>12</x:v>
      </x:c>
      <x:c r="P109" s="56" t="str">
        <x:v>Y</x:v>
      </x:c>
    </x:row>
    <x:row r="110">
      <x:c r="A110" s="54" t="n">
        <x:v>4</x:v>
      </x:c>
      <x:c r="B110" s="55" t="n">
        <x:v>3</x:v>
      </x:c>
      <x:c r="C110" s="55" t="str">
        <x:v>CIS</x:v>
      </x:c>
      <x:c r="D110" s="55" t="n">
        <x:v>0</x:v>
      </x:c>
      <x:c r="E110" s="55" t="n">
        <x:v>255</x:v>
      </x:c>
      <x:c r="F110" s="55" t="n">
        <x:v>32</x:v>
      </x:c>
      <x:c r="G110" s="108" t="n">
        <x:v>500</x:v>
      </x:c>
      <x:c r="H110" s="108" t="n">
        <x:v>1500</x:v>
      </x:c>
      <x:c r="I110" s="108" t="n">
        <x:v>8</x:v>
      </x:c>
      <x:c r="J110" s="108" t="n">
        <x:v>21892</x:v>
      </x:c>
      <x:c r="K110" s="55" t="n">
        <x:v>3</x:v>
      </x:c>
      <x:c r="L110" s="55" t="n">
        <x:v>3</x:v>
      </x:c>
      <x:c r="M110" s="102" t="n">
        <x:v>0</x:v>
      </x:c>
      <x:c r="N110" s="102" t="n">
        <x:v>211</x:v>
      </x:c>
      <x:c r="O110" s="102" t="n">
        <x:v>11</x:v>
      </x:c>
      <x:c r="P110" s="56" t="str">
        <x:v>Y</x:v>
      </x:c>
    </x:row>
    <x:row r="111">
      <x:c r="A111" s="54" t="n">
        <x:v>4</x:v>
      </x:c>
      <x:c r="B111" s="55" t="n">
        <x:v>4</x:v>
      </x:c>
      <x:c r="C111" s="55" t="str">
        <x:v>CIS</x:v>
      </x:c>
      <x:c r="D111" s="55" t="n">
        <x:v>0</x:v>
      </x:c>
      <x:c r="E111" s="55" t="n">
        <x:v>255</x:v>
      </x:c>
      <x:c r="F111" s="55" t="n">
        <x:v>32</x:v>
      </x:c>
      <x:c r="G111" s="108" t="n">
        <x:v>500</x:v>
      </x:c>
      <x:c r="H111" s="108" t="n">
        <x:v>1500</x:v>
      </x:c>
      <x:c r="I111" s="108" t="n">
        <x:v>8</x:v>
      </x:c>
      <x:c r="J111" s="108" t="n">
        <x:v>21892</x:v>
      </x:c>
      <x:c r="K111" s="55" t="n">
        <x:v>4</x:v>
      </x:c>
      <x:c r="L111" s="55" t="n">
        <x:v>4</x:v>
      </x:c>
      <x:c r="M111" s="102" t="n">
        <x:v>0</x:v>
      </x:c>
      <x:c r="N111" s="102" t="n">
        <x:v>211</x:v>
      </x:c>
      <x:c r="O111" s="102" t="n">
        <x:v>9</x:v>
      </x:c>
      <x:c r="P111" s="56" t="str">
        <x:v>Y</x:v>
      </x:c>
    </x:row>
    <x:row r="112">
      <x:c r="A112" s="54" t="n">
        <x:v>4</x:v>
      </x:c>
      <x:c r="B112" s="55" t="n">
        <x:v>5</x:v>
      </x:c>
      <x:c r="C112" s="55" t="str">
        <x:v>CIS</x:v>
      </x:c>
      <x:c r="D112" s="55" t="n">
        <x:v>0</x:v>
      </x:c>
      <x:c r="E112" s="55" t="n">
        <x:v>255</x:v>
      </x:c>
      <x:c r="F112" s="55" t="n">
        <x:v>32</x:v>
      </x:c>
      <x:c r="G112" s="108" t="n">
        <x:v>500</x:v>
      </x:c>
      <x:c r="H112" s="108" t="n">
        <x:v>1500</x:v>
      </x:c>
      <x:c r="I112" s="108" t="n">
        <x:v>8</x:v>
      </x:c>
      <x:c r="J112" s="108" t="n">
        <x:v>21892</x:v>
      </x:c>
      <x:c r="K112" s="55" t="n">
        <x:v>5</x:v>
      </x:c>
      <x:c r="L112" s="55" t="n">
        <x:v>5</x:v>
      </x:c>
      <x:c r="M112" s="102" t="n">
        <x:v>0</x:v>
      </x:c>
      <x:c r="N112" s="102" t="n">
        <x:v>211</x:v>
      </x:c>
      <x:c r="O112" s="102" t="n">
        <x:v>7</x:v>
      </x:c>
      <x:c r="P112" s="56" t="str">
        <x:v>Y</x:v>
      </x:c>
    </x:row>
    <x:row r="113">
      <x:c r="A113" s="54" t="n">
        <x:v>4</x:v>
      </x:c>
      <x:c r="B113" s="55" t="n">
        <x:v>6</x:v>
      </x:c>
      <x:c r="C113" s="55" t="str">
        <x:v>CIS</x:v>
      </x:c>
      <x:c r="D113" s="55" t="n">
        <x:v>0</x:v>
      </x:c>
      <x:c r="E113" s="55" t="n">
        <x:v>255</x:v>
      </x:c>
      <x:c r="F113" s="55" t="n">
        <x:v>32</x:v>
      </x:c>
      <x:c r="G113" s="108" t="n">
        <x:v>500</x:v>
      </x:c>
      <x:c r="H113" s="108" t="n">
        <x:v>1500</x:v>
      </x:c>
      <x:c r="I113" s="108" t="n">
        <x:v>8</x:v>
      </x:c>
      <x:c r="J113" s="108" t="n">
        <x:v>21892</x:v>
      </x:c>
      <x:c r="K113" s="55" t="n">
        <x:v>6</x:v>
      </x:c>
      <x:c r="L113" s="55" t="n">
        <x:v>6</x:v>
      </x:c>
      <x:c r="M113" s="102" t="n">
        <x:v>0</x:v>
      </x:c>
      <x:c r="N113" s="102" t="n">
        <x:v>211</x:v>
      </x:c>
      <x:c r="O113" s="102" t="n">
        <x:v>5</x:v>
      </x:c>
      <x:c r="P113" s="56" t="str">
        <x:v>Y</x:v>
      </x:c>
    </x:row>
    <x:row r="114">
      <x:c r="A114" s="54" t="n">
        <x:v>4</x:v>
      </x:c>
      <x:c r="B114" s="55" t="n">
        <x:v>7</x:v>
      </x:c>
      <x:c r="C114" s="55" t="str">
        <x:v>CIS</x:v>
      </x:c>
      <x:c r="D114" s="55" t="n">
        <x:v>0</x:v>
      </x:c>
      <x:c r="E114" s="55" t="n">
        <x:v>255</x:v>
      </x:c>
      <x:c r="F114" s="55" t="n">
        <x:v>32</x:v>
      </x:c>
      <x:c r="G114" s="108" t="n">
        <x:v>500</x:v>
      </x:c>
      <x:c r="H114" s="108" t="n">
        <x:v>1500</x:v>
      </x:c>
      <x:c r="I114" s="108" t="n">
        <x:v>8</x:v>
      </x:c>
      <x:c r="J114" s="108" t="n">
        <x:v>21892</x:v>
      </x:c>
      <x:c r="K114" s="55" t="n">
        <x:v>7</x:v>
      </x:c>
      <x:c r="L114" s="55" t="n">
        <x:v>7</x:v>
      </x:c>
      <x:c r="M114" s="102" t="n">
        <x:v>0</x:v>
      </x:c>
      <x:c r="N114" s="102" t="n">
        <x:v>211</x:v>
      </x:c>
      <x:c r="O114" s="102" t="n">
        <x:v>3</x:v>
      </x:c>
      <x:c r="P114" s="56" t="str">
        <x:v>Y</x:v>
      </x:c>
    </x:row>
    <x:row r="115">
      <x:c r="A115" s="54" t="n">
        <x:v>4</x:v>
      </x:c>
      <x:c r="B115" s="55" t="n">
        <x:v>8</x:v>
      </x:c>
      <x:c r="C115" s="55" t="str">
        <x:v>CIS</x:v>
      </x:c>
      <x:c r="D115" s="55" t="n">
        <x:v>0</x:v>
      </x:c>
      <x:c r="E115" s="55" t="n">
        <x:v>255</x:v>
      </x:c>
      <x:c r="F115" s="55" t="n">
        <x:v>32</x:v>
      </x:c>
      <x:c r="G115" s="108" t="n">
        <x:v>500</x:v>
      </x:c>
      <x:c r="H115" s="108" t="n">
        <x:v>1500</x:v>
      </x:c>
      <x:c r="I115" s="108" t="n">
        <x:v>8</x:v>
      </x:c>
      <x:c r="J115" s="108" t="n">
        <x:v>21892</x:v>
      </x:c>
      <x:c r="K115" s="55" t="n">
        <x:v>8</x:v>
      </x:c>
      <x:c r="L115" s="55" t="n">
        <x:v>8</x:v>
      </x:c>
      <x:c r="M115" s="102" t="n">
        <x:v>0</x:v>
      </x:c>
      <x:c r="N115" s="102" t="n">
        <x:v>211</x:v>
      </x:c>
      <x:c r="O115" s="102" t="n">
        <x:v>1</x:v>
      </x:c>
      <x:c r="P115" s="56" t="str">
        <x:v>Y</x:v>
      </x:c>
    </x:row>
    <x:row r="116">
      <x:c r="A116" s="54" t="n">
        <x:v>4</x:v>
      </x:c>
      <x:c r="B116" s="55" t="n">
        <x:v>9</x:v>
      </x:c>
      <x:c r="C116" s="55" t="str">
        <x:v>CIS</x:v>
      </x:c>
      <x:c r="D116" s="55" t="n">
        <x:v>0</x:v>
      </x:c>
      <x:c r="E116" s="55" t="n">
        <x:v>255</x:v>
      </x:c>
      <x:c r="F116" s="55" t="n">
        <x:v>32</x:v>
      </x:c>
      <x:c r="G116" s="108" t="n">
        <x:v>500</x:v>
      </x:c>
      <x:c r="H116" s="108" t="n">
        <x:v>1500</x:v>
      </x:c>
      <x:c r="I116" s="108" t="n">
        <x:v>8</x:v>
      </x:c>
      <x:c r="J116" s="108" t="n">
        <x:v>21892</x:v>
      </x:c>
      <x:c r="K116" s="55" t="n">
        <x:v>9</x:v>
      </x:c>
      <x:c r="L116" s="55" t="n">
        <x:v>9</x:v>
      </x:c>
      <x:c r="M116" s="102" t="n">
        <x:v>0</x:v>
      </x:c>
      <x:c r="N116" s="102" t="n">
        <x:v>211</x:v>
      </x:c>
      <x:c r="O116" s="102" t="n">
        <x:v>0</x:v>
      </x:c>
      <x:c r="P116" s="56" t="str">
        <x:v>Y</x:v>
      </x:c>
    </x:row>
    <x:row r="117">
      <x:c r="A117" s="54" t="n">
        <x:v>4</x:v>
      </x:c>
      <x:c r="B117" s="55" t="n">
        <x:v>10</x:v>
      </x:c>
      <x:c r="C117" s="55" t="str">
        <x:v>CIS</x:v>
      </x:c>
      <x:c r="D117" s="55" t="n">
        <x:v>0</x:v>
      </x:c>
      <x:c r="E117" s="55" t="n">
        <x:v>255</x:v>
      </x:c>
      <x:c r="F117" s="55" t="n">
        <x:v>32</x:v>
      </x:c>
      <x:c r="G117" s="108" t="n">
        <x:v>500</x:v>
      </x:c>
      <x:c r="H117" s="108" t="n">
        <x:v>1500</x:v>
      </x:c>
      <x:c r="I117" s="108" t="n">
        <x:v>8</x:v>
      </x:c>
      <x:c r="J117" s="108" t="n">
        <x:v>21892</x:v>
      </x:c>
      <x:c r="K117" s="55" t="n">
        <x:v>10</x:v>
      </x:c>
      <x:c r="L117" s="55" t="n">
        <x:v>10</x:v>
      </x:c>
      <x:c r="M117" s="102" t="n">
        <x:v>0</x:v>
      </x:c>
      <x:c r="N117" s="102" t="n">
        <x:v>211</x:v>
      </x:c>
      <x:c r="O117" s="102" t="n">
        <x:v>2</x:v>
      </x:c>
      <x:c r="P117" s="56" t="str">
        <x:v>Y</x:v>
      </x:c>
    </x:row>
    <x:row r="118">
      <x:c r="A118" s="54" t="n">
        <x:v>4</x:v>
      </x:c>
      <x:c r="B118" s="55" t="n">
        <x:v>11</x:v>
      </x:c>
      <x:c r="C118" s="55" t="str">
        <x:v>CIS</x:v>
      </x:c>
      <x:c r="D118" s="55" t="n">
        <x:v>0</x:v>
      </x:c>
      <x:c r="E118" s="55" t="n">
        <x:v>255</x:v>
      </x:c>
      <x:c r="F118" s="55" t="n">
        <x:v>32</x:v>
      </x:c>
      <x:c r="G118" s="108" t="n">
        <x:v>500</x:v>
      </x:c>
      <x:c r="H118" s="108" t="n">
        <x:v>1500</x:v>
      </x:c>
      <x:c r="I118" s="108" t="n">
        <x:v>8</x:v>
      </x:c>
      <x:c r="J118" s="108" t="n">
        <x:v>21892</x:v>
      </x:c>
      <x:c r="K118" s="55" t="n">
        <x:v>11</x:v>
      </x:c>
      <x:c r="L118" s="55" t="n">
        <x:v>11</x:v>
      </x:c>
      <x:c r="M118" s="102" t="n">
        <x:v>0</x:v>
      </x:c>
      <x:c r="N118" s="102" t="n">
        <x:v>211</x:v>
      </x:c>
      <x:c r="O118" s="102" t="n">
        <x:v>4</x:v>
      </x:c>
      <x:c r="P118" s="56" t="str">
        <x:v>Y</x:v>
      </x:c>
    </x:row>
    <x:row r="119">
      <x:c r="A119" s="54" t="n">
        <x:v>4</x:v>
      </x:c>
      <x:c r="B119" s="55" t="n">
        <x:v>12</x:v>
      </x:c>
      <x:c r="C119" s="55" t="str">
        <x:v>CIS</x:v>
      </x:c>
      <x:c r="D119" s="55" t="n">
        <x:v>0</x:v>
      </x:c>
      <x:c r="E119" s="55" t="n">
        <x:v>255</x:v>
      </x:c>
      <x:c r="F119" s="55" t="n">
        <x:v>32</x:v>
      </x:c>
      <x:c r="G119" s="108" t="n">
        <x:v>500</x:v>
      </x:c>
      <x:c r="H119" s="108" t="n">
        <x:v>1500</x:v>
      </x:c>
      <x:c r="I119" s="108" t="n">
        <x:v>8</x:v>
      </x:c>
      <x:c r="J119" s="108" t="n">
        <x:v>21892</x:v>
      </x:c>
      <x:c r="K119" s="55" t="n">
        <x:v>12</x:v>
      </x:c>
      <x:c r="L119" s="55" t="n">
        <x:v>12</x:v>
      </x:c>
      <x:c r="M119" s="102" t="n">
        <x:v>0</x:v>
      </x:c>
      <x:c r="N119" s="102" t="n">
        <x:v>211</x:v>
      </x:c>
      <x:c r="O119" s="102" t="n">
        <x:v>6</x:v>
      </x:c>
      <x:c r="P119" s="56" t="str">
        <x:v>Y</x:v>
      </x:c>
    </x:row>
    <x:row r="120">
      <x:c r="A120" s="54" t="n">
        <x:v>4</x:v>
      </x:c>
      <x:c r="B120" s="55" t="n">
        <x:v>13</x:v>
      </x:c>
      <x:c r="C120" s="55" t="str">
        <x:v>CIS</x:v>
      </x:c>
      <x:c r="D120" s="55" t="n">
        <x:v>0</x:v>
      </x:c>
      <x:c r="E120" s="55" t="n">
        <x:v>255</x:v>
      </x:c>
      <x:c r="F120" s="55" t="n">
        <x:v>32</x:v>
      </x:c>
      <x:c r="G120" s="108" t="n">
        <x:v>500</x:v>
      </x:c>
      <x:c r="H120" s="108" t="n">
        <x:v>1500</x:v>
      </x:c>
      <x:c r="I120" s="108" t="n">
        <x:v>8</x:v>
      </x:c>
      <x:c r="J120" s="108" t="n">
        <x:v>21892</x:v>
      </x:c>
      <x:c r="K120" s="55" t="n">
        <x:v>13</x:v>
      </x:c>
      <x:c r="L120" s="55" t="n">
        <x:v>13</x:v>
      </x:c>
      <x:c r="M120" s="102" t="n">
        <x:v>0</x:v>
      </x:c>
      <x:c r="N120" s="102" t="n">
        <x:v>211</x:v>
      </x:c>
      <x:c r="O120" s="102" t="n">
        <x:v>8</x:v>
      </x:c>
      <x:c r="P120" s="56" t="str">
        <x:v>Y</x:v>
      </x:c>
    </x:row>
    <x:row r="121">
      <x:c r="A121" s="54" t="n">
        <x:v>4</x:v>
      </x:c>
      <x:c r="B121" s="55" t="n">
        <x:v>14</x:v>
      </x:c>
      <x:c r="C121" s="55" t="str">
        <x:v>CIS</x:v>
      </x:c>
      <x:c r="D121" s="55" t="n">
        <x:v>0</x:v>
      </x:c>
      <x:c r="E121" s="55" t="n">
        <x:v>255</x:v>
      </x:c>
      <x:c r="F121" s="55" t="n">
        <x:v>32</x:v>
      </x:c>
      <x:c r="G121" s="108" t="n">
        <x:v>500</x:v>
      </x:c>
      <x:c r="H121" s="108" t="n">
        <x:v>1500</x:v>
      </x:c>
      <x:c r="I121" s="108" t="n">
        <x:v>8</x:v>
      </x:c>
      <x:c r="J121" s="108" t="n">
        <x:v>21892</x:v>
      </x:c>
      <x:c r="K121" s="55" t="n">
        <x:v>14</x:v>
      </x:c>
      <x:c r="L121" s="55" t="n">
        <x:v>14</x:v>
      </x:c>
      <x:c r="M121" s="102" t="n">
        <x:v>0</x:v>
      </x:c>
      <x:c r="N121" s="102" t="n">
        <x:v>211</x:v>
      </x:c>
      <x:c r="O121" s="102" t="n">
        <x:v>10</x:v>
      </x:c>
      <x:c r="P121" s="56" t="str">
        <x:v>Y</x:v>
      </x:c>
    </x:row>
    <x:row r="122">
      <x:c r="A122" s="54" t="n">
        <x:v>4</x:v>
      </x:c>
      <x:c r="B122" s="55" t="n">
        <x:v>15</x:v>
      </x:c>
      <x:c r="C122" s="55" t="str">
        <x:v>CIS</x:v>
      </x:c>
      <x:c r="D122" s="55" t="n">
        <x:v>0</x:v>
      </x:c>
      <x:c r="E122" s="55" t="n">
        <x:v>255</x:v>
      </x:c>
      <x:c r="F122" s="55" t="n">
        <x:v>32</x:v>
      </x:c>
      <x:c r="G122" s="108" t="n">
        <x:v>500</x:v>
      </x:c>
      <x:c r="H122" s="108" t="n">
        <x:v>1500</x:v>
      </x:c>
      <x:c r="I122" s="108" t="n">
        <x:v>8</x:v>
      </x:c>
      <x:c r="J122" s="108" t="n">
        <x:v>21892</x:v>
      </x:c>
      <x:c r="K122" s="55" t="n">
        <x:v>15</x:v>
      </x:c>
      <x:c r="L122" s="55" t="n">
        <x:v>15</x:v>
      </x:c>
      <x:c r="M122" s="102" t="n">
        <x:v>0</x:v>
      </x:c>
      <x:c r="N122" s="102" t="n">
        <x:v>211</x:v>
      </x:c>
      <x:c r="O122" s="102" t="n">
        <x:v>13</x:v>
      </x:c>
      <x:c r="P122" s="56" t="str">
        <x:v>Y</x:v>
      </x:c>
    </x:row>
    <x:row r="123">
      <x:c r="A123" s="54" t="n">
        <x:v>4</x:v>
      </x:c>
      <x:c r="B123" s="55" t="n">
        <x:v>16</x:v>
      </x:c>
      <x:c r="C123" s="55" t="str">
        <x:v>CIS</x:v>
      </x:c>
      <x:c r="D123" s="55" t="n">
        <x:v>0</x:v>
      </x:c>
      <x:c r="E123" s="55" t="n">
        <x:v>255</x:v>
      </x:c>
      <x:c r="F123" s="55" t="n">
        <x:v>32</x:v>
      </x:c>
      <x:c r="G123" s="108" t="n">
        <x:v>1500</x:v>
      </x:c>
      <x:c r="H123" s="108" t="n">
        <x:v>1500</x:v>
      </x:c>
      <x:c r="I123" s="108" t="n">
        <x:v>8</x:v>
      </x:c>
      <x:c r="J123" s="108" t="n">
        <x:v>21892</x:v>
      </x:c>
      <x:c r="K123" s="55" t="n">
        <x:v>16</x:v>
      </x:c>
      <x:c r="L123" s="55" t="n">
        <x:v>16</x:v>
      </x:c>
      <x:c r="M123" s="102" t="n">
        <x:v>211</x:v>
      </x:c>
      <x:c r="N123" s="102" t="n">
        <x:v>211</x:v>
      </x:c>
      <x:c r="O123" s="102" t="n">
        <x:v>15</x:v>
      </x:c>
      <x:c r="P123" s="56" t="str">
        <x:v>Y</x:v>
      </x:c>
    </x:row>
    <x:row r="124">
      <x:c r="A124" s="54" t="n">
        <x:v>4</x:v>
      </x:c>
      <x:c r="B124" s="55" t="n">
        <x:v>17</x:v>
      </x:c>
      <x:c r="C124" s="55" t="str">
        <x:v>CIS</x:v>
      </x:c>
      <x:c r="D124" s="55" t="n">
        <x:v>0</x:v>
      </x:c>
      <x:c r="E124" s="55" t="n">
        <x:v>255</x:v>
      </x:c>
      <x:c r="F124" s="55" t="n">
        <x:v>32</x:v>
      </x:c>
      <x:c r="G124" s="108" t="n">
        <x:v>500</x:v>
      </x:c>
      <x:c r="H124" s="108" t="n">
        <x:v>1500</x:v>
      </x:c>
      <x:c r="I124" s="108" t="n">
        <x:v>8</x:v>
      </x:c>
      <x:c r="J124" s="108" t="n">
        <x:v>21892</x:v>
      </x:c>
      <x:c r="K124" s="55" t="n">
        <x:v>17</x:v>
      </x:c>
      <x:c r="L124" s="55" t="n">
        <x:v>17</x:v>
      </x:c>
      <x:c r="M124" s="102" t="n">
        <x:v>0</x:v>
      </x:c>
      <x:c r="N124" s="102" t="n">
        <x:v>211</x:v>
      </x:c>
      <x:c r="O124" s="102" t="n">
        <x:v>17</x:v>
      </x:c>
      <x:c r="P124" s="56" t="str">
        <x:v>Y</x:v>
      </x:c>
    </x:row>
    <x:row r="125">
      <x:c r="A125" s="54" t="n">
        <x:v>4</x:v>
      </x:c>
      <x:c r="B125" s="55" t="n">
        <x:v>18</x:v>
      </x:c>
      <x:c r="C125" s="55" t="str">
        <x:v>CIS</x:v>
      </x:c>
      <x:c r="D125" s="55" t="n">
        <x:v>0</x:v>
      </x:c>
      <x:c r="E125" s="55" t="n">
        <x:v>255</x:v>
      </x:c>
      <x:c r="F125" s="55" t="n">
        <x:v>32</x:v>
      </x:c>
      <x:c r="G125" s="108" t="n">
        <x:v>500</x:v>
      </x:c>
      <x:c r="H125" s="108" t="n">
        <x:v>1500</x:v>
      </x:c>
      <x:c r="I125" s="108" t="n">
        <x:v>8</x:v>
      </x:c>
      <x:c r="J125" s="108" t="n">
        <x:v>21892</x:v>
      </x:c>
      <x:c r="K125" s="55" t="n">
        <x:v>18</x:v>
      </x:c>
      <x:c r="L125" s="55" t="n">
        <x:v>18</x:v>
      </x:c>
      <x:c r="M125" s="102" t="n">
        <x:v>0</x:v>
      </x:c>
      <x:c r="N125" s="102" t="n">
        <x:v>211</x:v>
      </x:c>
      <x:c r="O125" s="102" t="n">
        <x:v>18</x:v>
      </x:c>
      <x:c r="P125" s="56" t="str">
        <x:v>Y</x:v>
      </x:c>
    </x:row>
    <x:row r="126">
      <x:c r="A126" s="54" t="n">
        <x:v>4</x:v>
      </x:c>
      <x:c r="B126" s="55" t="n">
        <x:v>19</x:v>
      </x:c>
      <x:c r="C126" s="55" t="str">
        <x:v>CIS</x:v>
      </x:c>
      <x:c r="D126" s="55" t="n">
        <x:v>0</x:v>
      </x:c>
      <x:c r="E126" s="55" t="n">
        <x:v>255</x:v>
      </x:c>
      <x:c r="F126" s="55" t="n">
        <x:v>32</x:v>
      </x:c>
      <x:c r="G126" s="108" t="n">
        <x:v>500</x:v>
      </x:c>
      <x:c r="H126" s="108" t="n">
        <x:v>1500</x:v>
      </x:c>
      <x:c r="I126" s="108" t="n">
        <x:v>8</x:v>
      </x:c>
      <x:c r="J126" s="108" t="n">
        <x:v>21892</x:v>
      </x:c>
      <x:c r="K126" s="55" t="n">
        <x:v>19</x:v>
      </x:c>
      <x:c r="L126" s="55" t="n">
        <x:v>19</x:v>
      </x:c>
      <x:c r="M126" s="102" t="n">
        <x:v>0</x:v>
      </x:c>
      <x:c r="N126" s="102" t="n">
        <x:v>211</x:v>
      </x:c>
      <x:c r="O126" s="102" t="n">
        <x:v>20</x:v>
      </x:c>
      <x:c r="P126" s="56" t="str">
        <x:v>Y</x:v>
      </x:c>
    </x:row>
    <x:row r="127">
      <x:c r="A127" s="54" t="n">
        <x:v>4</x:v>
      </x:c>
      <x:c r="B127" s="55" t="n">
        <x:v>20</x:v>
      </x:c>
      <x:c r="C127" s="55" t="str">
        <x:v>CIS</x:v>
      </x:c>
      <x:c r="D127" s="55" t="n">
        <x:v>0</x:v>
      </x:c>
      <x:c r="E127" s="55" t="n">
        <x:v>255</x:v>
      </x:c>
      <x:c r="F127" s="55" t="n">
        <x:v>32</x:v>
      </x:c>
      <x:c r="G127" s="108" t="n">
        <x:v>500</x:v>
      </x:c>
      <x:c r="H127" s="108" t="n">
        <x:v>1500</x:v>
      </x:c>
      <x:c r="I127" s="108" t="n">
        <x:v>8</x:v>
      </x:c>
      <x:c r="J127" s="108" t="n">
        <x:v>21892</x:v>
      </x:c>
      <x:c r="K127" s="55" t="n">
        <x:v>20</x:v>
      </x:c>
      <x:c r="L127" s="55" t="n">
        <x:v>20</x:v>
      </x:c>
      <x:c r="M127" s="102" t="n">
        <x:v>0</x:v>
      </x:c>
      <x:c r="N127" s="102" t="n">
        <x:v>211</x:v>
      </x:c>
      <x:c r="O127" s="102" t="n">
        <x:v>22</x:v>
      </x:c>
      <x:c r="P127" s="56" t="str">
        <x:v>Y</x:v>
      </x:c>
    </x:row>
    <x:row r="128">
      <x:c r="A128" s="54" t="n">
        <x:v>4</x:v>
      </x:c>
      <x:c r="B128" s="55" t="n">
        <x:v>21</x:v>
      </x:c>
      <x:c r="C128" s="55" t="str">
        <x:v>CIS</x:v>
      </x:c>
      <x:c r="D128" s="55" t="n">
        <x:v>0</x:v>
      </x:c>
      <x:c r="E128" s="55" t="n">
        <x:v>255</x:v>
      </x:c>
      <x:c r="F128" s="55" t="n">
        <x:v>32</x:v>
      </x:c>
      <x:c r="G128" s="108" t="n">
        <x:v>500</x:v>
      </x:c>
      <x:c r="H128" s="108" t="n">
        <x:v>1500</x:v>
      </x:c>
      <x:c r="I128" s="108" t="n">
        <x:v>8</x:v>
      </x:c>
      <x:c r="J128" s="108" t="n">
        <x:v>21892</x:v>
      </x:c>
      <x:c r="K128" s="55" t="n">
        <x:v>21</x:v>
      </x:c>
      <x:c r="L128" s="55" t="n">
        <x:v>21</x:v>
      </x:c>
      <x:c r="M128" s="102" t="n">
        <x:v>0</x:v>
      </x:c>
      <x:c r="N128" s="102" t="n">
        <x:v>211</x:v>
      </x:c>
      <x:c r="O128" s="102" t="n">
        <x:v>24</x:v>
      </x:c>
      <x:c r="P128" s="56" t="str">
        <x:v>Y</x:v>
      </x:c>
    </x:row>
    <x:row r="129">
      <x:c r="A129" s="54" t="n">
        <x:v>4</x:v>
      </x:c>
      <x:c r="B129" s="55" t="n">
        <x:v>22</x:v>
      </x:c>
      <x:c r="C129" s="55" t="str">
        <x:v>CIS</x:v>
      </x:c>
      <x:c r="D129" s="55" t="n">
        <x:v>0</x:v>
      </x:c>
      <x:c r="E129" s="55" t="n">
        <x:v>255</x:v>
      </x:c>
      <x:c r="F129" s="55" t="n">
        <x:v>32</x:v>
      </x:c>
      <x:c r="G129" s="108" t="n">
        <x:v>500</x:v>
      </x:c>
      <x:c r="H129" s="108" t="n">
        <x:v>1500</x:v>
      </x:c>
      <x:c r="I129" s="108" t="n">
        <x:v>8</x:v>
      </x:c>
      <x:c r="J129" s="108" t="n">
        <x:v>21892</x:v>
      </x:c>
      <x:c r="K129" s="55" t="n">
        <x:v>22</x:v>
      </x:c>
      <x:c r="L129" s="55" t="n">
        <x:v>22</x:v>
      </x:c>
      <x:c r="M129" s="102" t="n">
        <x:v>0</x:v>
      </x:c>
      <x:c r="N129" s="102" t="n">
        <x:v>211</x:v>
      </x:c>
      <x:c r="O129" s="102" t="n">
        <x:v>26</x:v>
      </x:c>
      <x:c r="P129" s="56" t="str">
        <x:v>Y</x:v>
      </x:c>
    </x:row>
    <x:row r="130">
      <x:c r="A130" s="54" t="n">
        <x:v>4</x:v>
      </x:c>
      <x:c r="B130" s="55" t="n">
        <x:v>23</x:v>
      </x:c>
      <x:c r="C130" s="55" t="str">
        <x:v>CIS</x:v>
      </x:c>
      <x:c r="D130" s="55" t="n">
        <x:v>0</x:v>
      </x:c>
      <x:c r="E130" s="55" t="n">
        <x:v>255</x:v>
      </x:c>
      <x:c r="F130" s="55" t="n">
        <x:v>32</x:v>
      </x:c>
      <x:c r="G130" s="108" t="n">
        <x:v>500</x:v>
      </x:c>
      <x:c r="H130" s="108" t="n">
        <x:v>1500</x:v>
      </x:c>
      <x:c r="I130" s="108" t="n">
        <x:v>8</x:v>
      </x:c>
      <x:c r="J130" s="108" t="n">
        <x:v>21892</x:v>
      </x:c>
      <x:c r="K130" s="55" t="n">
        <x:v>23</x:v>
      </x:c>
      <x:c r="L130" s="55" t="n">
        <x:v>23</x:v>
      </x:c>
      <x:c r="M130" s="102" t="n">
        <x:v>0</x:v>
      </x:c>
      <x:c r="N130" s="102" t="n">
        <x:v>211</x:v>
      </x:c>
      <x:c r="O130" s="102" t="n">
        <x:v>28</x:v>
      </x:c>
      <x:c r="P130" s="56" t="str">
        <x:v>Y</x:v>
      </x:c>
    </x:row>
    <x:row r="131">
      <x:c r="A131" s="54" t="n">
        <x:v>4</x:v>
      </x:c>
      <x:c r="B131" s="55" t="n">
        <x:v>24</x:v>
      </x:c>
      <x:c r="C131" s="55" t="str">
        <x:v>CIS</x:v>
      </x:c>
      <x:c r="D131" s="55" t="n">
        <x:v>0</x:v>
      </x:c>
      <x:c r="E131" s="55" t="n">
        <x:v>255</x:v>
      </x:c>
      <x:c r="F131" s="55" t="n">
        <x:v>32</x:v>
      </x:c>
      <x:c r="G131" s="108" t="n">
        <x:v>500</x:v>
      </x:c>
      <x:c r="H131" s="108" t="n">
        <x:v>1500</x:v>
      </x:c>
      <x:c r="I131" s="108" t="n">
        <x:v>8</x:v>
      </x:c>
      <x:c r="J131" s="108" t="n">
        <x:v>21892</x:v>
      </x:c>
      <x:c r="K131" s="55" t="n">
        <x:v>24</x:v>
      </x:c>
      <x:c r="L131" s="55" t="n">
        <x:v>24</x:v>
      </x:c>
      <x:c r="M131" s="102" t="n">
        <x:v>0</x:v>
      </x:c>
      <x:c r="N131" s="102" t="n">
        <x:v>211</x:v>
      </x:c>
      <x:c r="O131" s="102" t="n">
        <x:v>30</x:v>
      </x:c>
      <x:c r="P131" s="56" t="str">
        <x:v>Y</x:v>
      </x:c>
    </x:row>
    <x:row r="132">
      <x:c r="A132" s="54" t="n">
        <x:v>4</x:v>
      </x:c>
      <x:c r="B132" s="55" t="n">
        <x:v>25</x:v>
      </x:c>
      <x:c r="C132" s="55" t="str">
        <x:v>CIS</x:v>
      </x:c>
      <x:c r="D132" s="55" t="n">
        <x:v>0</x:v>
      </x:c>
      <x:c r="E132" s="55" t="n">
        <x:v>255</x:v>
      </x:c>
      <x:c r="F132" s="55" t="n">
        <x:v>32</x:v>
      </x:c>
      <x:c r="G132" s="108" t="n">
        <x:v>500</x:v>
      </x:c>
      <x:c r="H132" s="108" t="n">
        <x:v>1500</x:v>
      </x:c>
      <x:c r="I132" s="108" t="n">
        <x:v>8</x:v>
      </x:c>
      <x:c r="J132" s="108" t="n">
        <x:v>21892</x:v>
      </x:c>
      <x:c r="K132" s="55" t="n">
        <x:v>25</x:v>
      </x:c>
      <x:c r="L132" s="55" t="n">
        <x:v>25</x:v>
      </x:c>
      <x:c r="M132" s="102" t="n">
        <x:v>0</x:v>
      </x:c>
      <x:c r="N132" s="102" t="n">
        <x:v>211</x:v>
      </x:c>
      <x:c r="O132" s="102" t="n">
        <x:v>14</x:v>
      </x:c>
      <x:c r="P132" s="56" t="str">
        <x:v>Y</x:v>
      </x:c>
    </x:row>
    <x:row r="133">
      <x:c r="A133" s="54" t="n">
        <x:v>4</x:v>
      </x:c>
      <x:c r="B133" s="55" t="n">
        <x:v>26</x:v>
      </x:c>
      <x:c r="C133" s="55" t="str">
        <x:v>CIS</x:v>
      </x:c>
      <x:c r="D133" s="55" t="n">
        <x:v>0</x:v>
      </x:c>
      <x:c r="E133" s="55" t="n">
        <x:v>255</x:v>
      </x:c>
      <x:c r="F133" s="55" t="n">
        <x:v>32</x:v>
      </x:c>
      <x:c r="G133" s="108" t="n">
        <x:v>500</x:v>
      </x:c>
      <x:c r="H133" s="108" t="n">
        <x:v>1500</x:v>
      </x:c>
      <x:c r="I133" s="108" t="n">
        <x:v>8</x:v>
      </x:c>
      <x:c r="J133" s="108" t="n">
        <x:v>21892</x:v>
      </x:c>
      <x:c r="K133" s="55" t="n">
        <x:v>26</x:v>
      </x:c>
      <x:c r="L133" s="55" t="n">
        <x:v>26</x:v>
      </x:c>
      <x:c r="M133" s="102" t="n">
        <x:v>0</x:v>
      </x:c>
      <x:c r="N133" s="102" t="n">
        <x:v>211</x:v>
      </x:c>
      <x:c r="O133" s="102" t="n">
        <x:v>29</x:v>
      </x:c>
      <x:c r="P133" s="56" t="str">
        <x:v>Y</x:v>
      </x:c>
    </x:row>
    <x:row r="134">
      <x:c r="A134" s="54" t="n">
        <x:v>4</x:v>
      </x:c>
      <x:c r="B134" s="55" t="n">
        <x:v>27</x:v>
      </x:c>
      <x:c r="C134" s="55" t="str">
        <x:v>CIS</x:v>
      </x:c>
      <x:c r="D134" s="55" t="n">
        <x:v>0</x:v>
      </x:c>
      <x:c r="E134" s="55" t="n">
        <x:v>255</x:v>
      </x:c>
      <x:c r="F134" s="55" t="n">
        <x:v>32</x:v>
      </x:c>
      <x:c r="G134" s="108" t="n">
        <x:v>500</x:v>
      </x:c>
      <x:c r="H134" s="108" t="n">
        <x:v>1500</x:v>
      </x:c>
      <x:c r="I134" s="108" t="n">
        <x:v>8</x:v>
      </x:c>
      <x:c r="J134" s="108" t="n">
        <x:v>21892</x:v>
      </x:c>
      <x:c r="K134" s="55" t="n">
        <x:v>27</x:v>
      </x:c>
      <x:c r="L134" s="55" t="n">
        <x:v>27</x:v>
      </x:c>
      <x:c r="M134" s="102" t="n">
        <x:v>0</x:v>
      </x:c>
      <x:c r="N134" s="102" t="n">
        <x:v>211</x:v>
      </x:c>
      <x:c r="O134" s="102" t="n">
        <x:v>27</x:v>
      </x:c>
      <x:c r="P134" s="56" t="str">
        <x:v>Y</x:v>
      </x:c>
    </x:row>
    <x:row r="135">
      <x:c r="A135" s="54" t="n">
        <x:v>4</x:v>
      </x:c>
      <x:c r="B135" s="55" t="n">
        <x:v>28</x:v>
      </x:c>
      <x:c r="C135" s="55" t="str">
        <x:v>CIS</x:v>
      </x:c>
      <x:c r="D135" s="55" t="n">
        <x:v>0</x:v>
      </x:c>
      <x:c r="E135" s="55" t="n">
        <x:v>255</x:v>
      </x:c>
      <x:c r="F135" s="55" t="n">
        <x:v>32</x:v>
      </x:c>
      <x:c r="G135" s="108" t="n">
        <x:v>500</x:v>
      </x:c>
      <x:c r="H135" s="108" t="n">
        <x:v>1500</x:v>
      </x:c>
      <x:c r="I135" s="108" t="n">
        <x:v>8</x:v>
      </x:c>
      <x:c r="J135" s="108" t="n">
        <x:v>21892</x:v>
      </x:c>
      <x:c r="K135" s="55" t="n">
        <x:v>28</x:v>
      </x:c>
      <x:c r="L135" s="55" t="n">
        <x:v>28</x:v>
      </x:c>
      <x:c r="M135" s="102" t="n">
        <x:v>0</x:v>
      </x:c>
      <x:c r="N135" s="102" t="n">
        <x:v>211</x:v>
      </x:c>
      <x:c r="O135" s="102" t="n">
        <x:v>25</x:v>
      </x:c>
      <x:c r="P135" s="56" t="str">
        <x:v>Y</x:v>
      </x:c>
    </x:row>
    <x:row r="136">
      <x:c r="A136" s="54" t="n">
        <x:v>4</x:v>
      </x:c>
      <x:c r="B136" s="55" t="n">
        <x:v>29</x:v>
      </x:c>
      <x:c r="C136" s="55" t="str">
        <x:v>CIS</x:v>
      </x:c>
      <x:c r="D136" s="55" t="n">
        <x:v>0</x:v>
      </x:c>
      <x:c r="E136" s="55" t="n">
        <x:v>255</x:v>
      </x:c>
      <x:c r="F136" s="55" t="n">
        <x:v>32</x:v>
      </x:c>
      <x:c r="G136" s="108" t="n">
        <x:v>500</x:v>
      </x:c>
      <x:c r="H136" s="108" t="n">
        <x:v>1500</x:v>
      </x:c>
      <x:c r="I136" s="108" t="n">
        <x:v>8</x:v>
      </x:c>
      <x:c r="J136" s="108" t="n">
        <x:v>21892</x:v>
      </x:c>
      <x:c r="K136" s="55" t="n">
        <x:v>29</x:v>
      </x:c>
      <x:c r="L136" s="55" t="n">
        <x:v>29</x:v>
      </x:c>
      <x:c r="M136" s="102" t="n">
        <x:v>0</x:v>
      </x:c>
      <x:c r="N136" s="102" t="n">
        <x:v>211</x:v>
      </x:c>
      <x:c r="O136" s="102" t="n">
        <x:v>23</x:v>
      </x:c>
      <x:c r="P136" s="56" t="str">
        <x:v>Y</x:v>
      </x:c>
    </x:row>
    <x:row r="137">
      <x:c r="A137" s="54" t="n">
        <x:v>4</x:v>
      </x:c>
      <x:c r="B137" s="55" t="n">
        <x:v>30</x:v>
      </x:c>
      <x:c r="C137" s="55" t="str">
        <x:v>CIS</x:v>
      </x:c>
      <x:c r="D137" s="55" t="n">
        <x:v>0</x:v>
      </x:c>
      <x:c r="E137" s="55" t="n">
        <x:v>255</x:v>
      </x:c>
      <x:c r="F137" s="55" t="n">
        <x:v>32</x:v>
      </x:c>
      <x:c r="G137" s="108" t="n">
        <x:v>500</x:v>
      </x:c>
      <x:c r="H137" s="108" t="n">
        <x:v>1500</x:v>
      </x:c>
      <x:c r="I137" s="108" t="n">
        <x:v>8</x:v>
      </x:c>
      <x:c r="J137" s="108" t="n">
        <x:v>21892</x:v>
      </x:c>
      <x:c r="K137" s="55" t="n">
        <x:v>30</x:v>
      </x:c>
      <x:c r="L137" s="55" t="n">
        <x:v>30</x:v>
      </x:c>
      <x:c r="M137" s="102" t="n">
        <x:v>0</x:v>
      </x:c>
      <x:c r="N137" s="102" t="n">
        <x:v>211</x:v>
      </x:c>
      <x:c r="O137" s="102" t="n">
        <x:v>21</x:v>
      </x:c>
      <x:c r="P137" s="56" t="str">
        <x:v>Y</x:v>
      </x:c>
    </x:row>
    <x:row r="138">
      <x:c r="A138" s="54" t="n">
        <x:v>4</x:v>
      </x:c>
      <x:c r="B138" s="55" t="n">
        <x:v>31</x:v>
      </x:c>
      <x:c r="C138" s="55" t="str">
        <x:v>CIS</x:v>
      </x:c>
      <x:c r="D138" s="55" t="n">
        <x:v>0</x:v>
      </x:c>
      <x:c r="E138" s="55" t="n">
        <x:v>255</x:v>
      </x:c>
      <x:c r="F138" s="55" t="n">
        <x:v>32</x:v>
      </x:c>
      <x:c r="G138" s="108" t="n">
        <x:v>500</x:v>
      </x:c>
      <x:c r="H138" s="108" t="n">
        <x:v>1500</x:v>
      </x:c>
      <x:c r="I138" s="108" t="n">
        <x:v>8</x:v>
      </x:c>
      <x:c r="J138" s="108" t="n">
        <x:v>21892</x:v>
      </x:c>
      <x:c r="K138" s="55" t="n">
        <x:v>31</x:v>
      </x:c>
      <x:c r="L138" s="55" t="n">
        <x:v>31</x:v>
      </x:c>
      <x:c r="M138" s="102" t="n">
        <x:v>0</x:v>
      </x:c>
      <x:c r="N138" s="102" t="n">
        <x:v>211</x:v>
      </x:c>
      <x:c r="O138" s="102" t="n">
        <x:v>19</x:v>
      </x:c>
      <x:c r="P138" s="56" t="str">
        <x:v>Y</x:v>
      </x:c>
    </x:row>
    <x:row r="139">
      <x:c r="A139" s="57" t="n">
        <x:v>4</x:v>
      </x:c>
      <x:c r="B139" s="58" t="n">
        <x:v>32</x:v>
      </x:c>
      <x:c r="C139" s="58" t="str">
        <x:v>CIS</x:v>
      </x:c>
      <x:c r="D139" s="58" t="n">
        <x:v>0</x:v>
      </x:c>
      <x:c r="E139" s="58" t="n">
        <x:v>255</x:v>
      </x:c>
      <x:c r="F139" s="58" t="n">
        <x:v>32</x:v>
      </x:c>
      <x:c r="G139" s="109" t="n">
        <x:v>500</x:v>
      </x:c>
      <x:c r="H139" s="109" t="n">
        <x:v>1500</x:v>
      </x:c>
      <x:c r="I139" s="109" t="n">
        <x:v>8</x:v>
      </x:c>
      <x:c r="J139" s="109" t="n">
        <x:v>21892</x:v>
      </x:c>
      <x:c r="K139" s="58" t="n">
        <x:v>32</x:v>
      </x:c>
      <x:c r="L139" s="58" t="n">
        <x:v>32</x:v>
      </x:c>
      <x:c r="M139" s="105" t="n">
        <x:v>0</x:v>
      </x:c>
      <x:c r="N139" s="105" t="n">
        <x:v>211</x:v>
      </x:c>
      <x:c r="O139" s="105" t="n">
        <x:v>16</x:v>
      </x:c>
      <x:c r="P139" s="59" t="str">
        <x:v>Y</x:v>
      </x:c>
    </x:row>
  </x:sheetData>
  <x:mergeCells>
    <x:mergeCell ref="A1:T1"/>
    <x:mergeCell ref="A2:T2"/>
    <x:mergeCell ref="A3:T3"/>
    <x:mergeCell ref="A10:P10"/>
  </x:mergeCells>
  <x:conditionalFormatting sqref="P12:P139">
    <x:cfRule type="cellIs" dxfId="0" priority="1">
      <x:formula>"N"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21" hidden="0" customWidth="1"/>
    <x:col min="4" max="4" width="19" hidden="0" customWidth="1"/>
    <x:col min="5" max="5" width="18" hidden="0" customWidth="1"/>
    <x:col min="6" max="6" width="16" hidden="0" customWidth="1"/>
    <x:col min="7" max="7" width="18" hidden="0" customWidth="1"/>
    <x:col min="8" max="8" width="3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4" customHeight="1">
      <x:c r="A1" s="4" t="str">
        <x:v>PCM Amplitude → 예상 출력 전류 LUT</x:v>
      </x:c>
      <x:c r="B1" s="4" t="str">
        <x:v>PCM Amplitude → 예상 출력 전류 LUT</x:v>
      </x:c>
      <x:c r="C1" s="4" t="str">
        <x:v>PCM Amplitude → 예상 출력 전류 LUT</x:v>
      </x:c>
      <x:c r="D1" s="4" t="str">
        <x:v>PCM Amplitude → 예상 출력 전류 LUT</x:v>
      </x:c>
      <x:c r="E1" s="4" t="str">
        <x:v>PCM Amplitude → 예상 출력 전류 LUT</x:v>
      </x:c>
      <x:c r="F1" s="4" t="str">
        <x:v>PCM Amplitude → 예상 출력 전류 LUT</x:v>
      </x:c>
      <x:c r="G1" s="4" t="str">
        <x:v>PCM Amplitude → 예상 출력 전류 LUT</x:v>
      </x:c>
      <x:c r="H1" s="4" t="str">
        <x:v>PCM Amplitude → 예상 출력 전류 LUT</x:v>
      </x:c>
      <x:c r="I1" s="4" t="str">
        <x:v>PCM Amplitude → 예상 출력 전류 LUT</x:v>
      </x:c>
      <x:c r="J1" s="4" t="str">
        <x:v>PCM Amplitude → 예상 출력 전류 LUT</x:v>
      </x:c>
      <x:c r="K1" s="4" t="str">
        <x:v>PCM Amplitude → 예상 출력 전류 LUT</x:v>
      </x:c>
    </x:row>
    <x:row r="2">
      <x:c r="A2" s="97" t="str">
        <x:v>요약 시트에서 선택한 프로그램의 DAC 설정과 mute mode를 사용합니다. Amplitude 0도 자극 패킷이 출력되면 offset 전류가 존재하지만, mute가 켜져 있으면 패킷 자체가 대체됩니다.</x:v>
      </x:c>
      <x:c r="B2" s="97"/>
      <x:c r="C2" s="97"/>
      <x:c r="D2" s="97"/>
      <x:c r="E2" s="97"/>
      <x:c r="F2" s="97"/>
      <x:c r="G2" s="97"/>
      <x:c r="H2" s="97"/>
      <x:c r="I2" s="97"/>
      <x:c r="J2" s="97"/>
      <x:c r="K2" s="97"/>
    </x:row>
    <x:row r="4" ht="31" customHeight="1">
      <x:c r="A4" s="21" t="str">
        <x:v>PCM Amplitude</x:v>
      </x:c>
      <x:c r="B4" s="22" t="str">
        <x:v>패킷 비트값</x:v>
      </x:c>
      <x:c r="C4" s="22" t="str">
        <x:v>패킷 출력 시 전류 [uA]</x:v>
      </x:c>
      <x:c r="D4" s="22" t="str">
        <x:v>mute 반영 전류 [uA]</x:v>
      </x:c>
      <x:c r="E4" s="22" t="str">
        <x:v>BLE 표시 전류 [uA]</x:v>
      </x:c>
      <x:c r="F4" s="22" t="str">
        <x:v>전 level 대비 [uA]</x:v>
      </x:c>
      <x:c r="G4" s="23" t="str">
        <x:v>위상당 전하 [pC]</x:v>
      </x:c>
    </x:row>
    <x:row r="5">
      <x:c r="A5" s="130" t="n">
        <x:v>0</x:v>
      </x:c>
      <x:c r="B5" s="52" t="n">
        <x:f>A5*4</x:f>
        <x:v>0</x:v>
      </x:c>
      <x:c r="C5" s="99" t="n">
        <x:f>INDEX('기본 맵 및 CM3'!$Q$5:$Q$8,'요약'!$B$5)+INT(INDEX('기본 맵 및 CM3'!$K$5:$K$8,'요약'!$B$5)*A5/4096)</x:f>
        <x:v>497</x:v>
      </x:c>
      <x:c r="D5" s="99" t="n">
        <x:f>IF(AND('요약'!$B$13=1,A5=0),0,C5)</x:f>
        <x:v>497</x:v>
      </x:c>
      <x:c r="E5" s="99" t="n">
        <x:f>IF(A5=0,0,C5)</x:f>
        <x:v>0</x:v>
      </x:c>
      <x:c r="F5" s="99" t="n">
        <x:f>0</x:f>
        <x:v>0</x:v>
      </x:c>
      <x:c r="G5" s="100" t="n">
        <x:f>D5*INDEX('기본 맵 및 CM3'!$D$5:$D$8,'요약'!$B$5)</x:f>
        <x:v>24850</x:v>
      </x:c>
    </x:row>
    <x:row r="6">
      <x:c r="A6" s="131" t="n">
        <x:v>1</x:v>
      </x:c>
      <x:c r="B6" s="55" t="n">
        <x:f>A6*4</x:f>
        <x:v>4</x:v>
      </x:c>
      <x:c r="C6" s="102" t="n">
        <x:f>INDEX('기본 맵 및 CM3'!$Q$5:$Q$8,'요약'!$B$5)+INT(INDEX('기본 맵 및 CM3'!$K$5:$K$8,'요약'!$B$5)*A6/4096)</x:f>
        <x:v>501</x:v>
      </x:c>
      <x:c r="D6" s="102" t="n">
        <x:f>IF(AND('요약'!$B$13=1,A6=0),0,C6)</x:f>
        <x:v>501</x:v>
      </x:c>
      <x:c r="E6" s="102" t="n">
        <x:f>IF(A6=0,0,C6)</x:f>
        <x:v>501</x:v>
      </x:c>
      <x:c r="F6" s="102" t="n">
        <x:f>C6-C5</x:f>
        <x:v>4</x:v>
      </x:c>
      <x:c r="G6" s="103" t="n">
        <x:f>D6*INDEX('기본 맵 및 CM3'!$D$5:$D$8,'요약'!$B$5)</x:f>
        <x:v>25050</x:v>
      </x:c>
    </x:row>
    <x:row r="7">
      <x:c r="A7" s="131" t="n">
        <x:v>2</x:v>
      </x:c>
      <x:c r="B7" s="55" t="n">
        <x:f>A7*4</x:f>
        <x:v>8</x:v>
      </x:c>
      <x:c r="C7" s="102" t="n">
        <x:f>INDEX('기본 맵 및 CM3'!$Q$5:$Q$8,'요약'!$B$5)+INT(INDEX('기본 맵 및 CM3'!$K$5:$K$8,'요약'!$B$5)*A7/4096)</x:f>
        <x:v>506</x:v>
      </x:c>
      <x:c r="D7" s="102" t="n">
        <x:f>IF(AND('요약'!$B$13=1,A7=0),0,C7)</x:f>
        <x:v>506</x:v>
      </x:c>
      <x:c r="E7" s="102" t="n">
        <x:f>IF(A7=0,0,C7)</x:f>
        <x:v>506</x:v>
      </x:c>
      <x:c r="F7" s="102" t="n">
        <x:f>C7-C6</x:f>
        <x:v>5</x:v>
      </x:c>
      <x:c r="G7" s="103" t="n">
        <x:f>D7*INDEX('기본 맵 및 CM3'!$D$5:$D$8,'요약'!$B$5)</x:f>
        <x:v>25300</x:v>
      </x:c>
    </x:row>
    <x:row r="8">
      <x:c r="A8" s="131" t="n">
        <x:v>3</x:v>
      </x:c>
      <x:c r="B8" s="55" t="n">
        <x:f>A8*4</x:f>
        <x:v>12</x:v>
      </x:c>
      <x:c r="C8" s="102" t="n">
        <x:f>INDEX('기본 맵 및 CM3'!$Q$5:$Q$8,'요약'!$B$5)+INT(INDEX('기본 맵 및 CM3'!$K$5:$K$8,'요약'!$B$5)*A8/4096)</x:f>
        <x:v>511</x:v>
      </x:c>
      <x:c r="D8" s="102" t="n">
        <x:f>IF(AND('요약'!$B$13=1,A8=0),0,C8)</x:f>
        <x:v>511</x:v>
      </x:c>
      <x:c r="E8" s="102" t="n">
        <x:f>IF(A8=0,0,C8)</x:f>
        <x:v>511</x:v>
      </x:c>
      <x:c r="F8" s="102" t="n">
        <x:f>C8-C7</x:f>
        <x:v>5</x:v>
      </x:c>
      <x:c r="G8" s="103" t="n">
        <x:f>D8*INDEX('기본 맵 및 CM3'!$D$5:$D$8,'요약'!$B$5)</x:f>
        <x:v>25550</x:v>
      </x:c>
    </x:row>
    <x:row r="9">
      <x:c r="A9" s="131" t="n">
        <x:v>4</x:v>
      </x:c>
      <x:c r="B9" s="55" t="n">
        <x:f>A9*4</x:f>
        <x:v>16</x:v>
      </x:c>
      <x:c r="C9" s="102" t="n">
        <x:f>INDEX('기본 맵 및 CM3'!$Q$5:$Q$8,'요약'!$B$5)+INT(INDEX('기본 맵 및 CM3'!$K$5:$K$8,'요약'!$B$5)*A9/4096)</x:f>
        <x:v>515</x:v>
      </x:c>
      <x:c r="D9" s="102" t="n">
        <x:f>IF(AND('요약'!$B$13=1,A9=0),0,C9)</x:f>
        <x:v>515</x:v>
      </x:c>
      <x:c r="E9" s="102" t="n">
        <x:f>IF(A9=0,0,C9)</x:f>
        <x:v>515</x:v>
      </x:c>
      <x:c r="F9" s="102" t="n">
        <x:f>C9-C8</x:f>
        <x:v>4</x:v>
      </x:c>
      <x:c r="G9" s="103" t="n">
        <x:f>D9*INDEX('기본 맵 및 CM3'!$D$5:$D$8,'요약'!$B$5)</x:f>
        <x:v>25750</x:v>
      </x:c>
    </x:row>
    <x:row r="10">
      <x:c r="A10" s="131" t="n">
        <x:v>5</x:v>
      </x:c>
      <x:c r="B10" s="55" t="n">
        <x:f>A10*4</x:f>
        <x:v>20</x:v>
      </x:c>
      <x:c r="C10" s="102" t="n">
        <x:f>INDEX('기본 맵 및 CM3'!$Q$5:$Q$8,'요약'!$B$5)+INT(INDEX('기본 맵 및 CM3'!$K$5:$K$8,'요약'!$B$5)*A10/4096)</x:f>
        <x:v>520</x:v>
      </x:c>
      <x:c r="D10" s="102" t="n">
        <x:f>IF(AND('요약'!$B$13=1,A10=0),0,C10)</x:f>
        <x:v>520</x:v>
      </x:c>
      <x:c r="E10" s="102" t="n">
        <x:f>IF(A10=0,0,C10)</x:f>
        <x:v>520</x:v>
      </x:c>
      <x:c r="F10" s="102" t="n">
        <x:f>C10-C9</x:f>
        <x:v>5</x:v>
      </x:c>
      <x:c r="G10" s="103" t="n">
        <x:f>D10*INDEX('기본 맵 및 CM3'!$D$5:$D$8,'요약'!$B$5)</x:f>
        <x:v>26000</x:v>
      </x:c>
    </x:row>
    <x:row r="11">
      <x:c r="A11" s="131" t="n">
        <x:v>6</x:v>
      </x:c>
      <x:c r="B11" s="55" t="n">
        <x:f>A11*4</x:f>
        <x:v>24</x:v>
      </x:c>
      <x:c r="C11" s="102" t="n">
        <x:f>INDEX('기본 맵 및 CM3'!$Q$5:$Q$8,'요약'!$B$5)+INT(INDEX('기본 맵 및 CM3'!$K$5:$K$8,'요약'!$B$5)*A11/4096)</x:f>
        <x:v>525</x:v>
      </x:c>
      <x:c r="D11" s="102" t="n">
        <x:f>IF(AND('요약'!$B$13=1,A11=0),0,C11)</x:f>
        <x:v>525</x:v>
      </x:c>
      <x:c r="E11" s="102" t="n">
        <x:f>IF(A11=0,0,C11)</x:f>
        <x:v>525</x:v>
      </x:c>
      <x:c r="F11" s="102" t="n">
        <x:f>C11-C10</x:f>
        <x:v>5</x:v>
      </x:c>
      <x:c r="G11" s="103" t="n">
        <x:f>D11*INDEX('기본 맵 및 CM3'!$D$5:$D$8,'요약'!$B$5)</x:f>
        <x:v>26250</x:v>
      </x:c>
    </x:row>
    <x:row r="12">
      <x:c r="A12" s="131" t="n">
        <x:v>7</x:v>
      </x:c>
      <x:c r="B12" s="55" t="n">
        <x:f>A12*4</x:f>
        <x:v>28</x:v>
      </x:c>
      <x:c r="C12" s="102" t="n">
        <x:f>INDEX('기본 맵 및 CM3'!$Q$5:$Q$8,'요약'!$B$5)+INT(INDEX('기본 맵 및 CM3'!$K$5:$K$8,'요약'!$B$5)*A12/4096)</x:f>
        <x:v>530</x:v>
      </x:c>
      <x:c r="D12" s="102" t="n">
        <x:f>IF(AND('요약'!$B$13=1,A12=0),0,C12)</x:f>
        <x:v>530</x:v>
      </x:c>
      <x:c r="E12" s="102" t="n">
        <x:f>IF(A12=0,0,C12)</x:f>
        <x:v>530</x:v>
      </x:c>
      <x:c r="F12" s="102" t="n">
        <x:f>C12-C11</x:f>
        <x:v>5</x:v>
      </x:c>
      <x:c r="G12" s="103" t="n">
        <x:f>D12*INDEX('기본 맵 및 CM3'!$D$5:$D$8,'요약'!$B$5)</x:f>
        <x:v>26500</x:v>
      </x:c>
    </x:row>
    <x:row r="13">
      <x:c r="A13" s="131" t="n">
        <x:v>8</x:v>
      </x:c>
      <x:c r="B13" s="55" t="n">
        <x:f>A13*4</x:f>
        <x:v>32</x:v>
      </x:c>
      <x:c r="C13" s="102" t="n">
        <x:f>INDEX('기본 맵 및 CM3'!$Q$5:$Q$8,'요약'!$B$5)+INT(INDEX('기본 맵 및 CM3'!$K$5:$K$8,'요약'!$B$5)*A13/4096)</x:f>
        <x:v>534</x:v>
      </x:c>
      <x:c r="D13" s="102" t="n">
        <x:f>IF(AND('요약'!$B$13=1,A13=0),0,C13)</x:f>
        <x:v>534</x:v>
      </x:c>
      <x:c r="E13" s="102" t="n">
        <x:f>IF(A13=0,0,C13)</x:f>
        <x:v>534</x:v>
      </x:c>
      <x:c r="F13" s="102" t="n">
        <x:f>C13-C12</x:f>
        <x:v>4</x:v>
      </x:c>
      <x:c r="G13" s="103" t="n">
        <x:f>D13*INDEX('기본 맵 및 CM3'!$D$5:$D$8,'요약'!$B$5)</x:f>
        <x:v>26700</x:v>
      </x:c>
    </x:row>
    <x:row r="14">
      <x:c r="A14" s="131" t="n">
        <x:v>9</x:v>
      </x:c>
      <x:c r="B14" s="55" t="n">
        <x:f>A14*4</x:f>
        <x:v>36</x:v>
      </x:c>
      <x:c r="C14" s="102" t="n">
        <x:f>INDEX('기본 맵 및 CM3'!$Q$5:$Q$8,'요약'!$B$5)+INT(INDEX('기본 맵 및 CM3'!$K$5:$K$8,'요약'!$B$5)*A14/4096)</x:f>
        <x:v>539</x:v>
      </x:c>
      <x:c r="D14" s="102" t="n">
        <x:f>IF(AND('요약'!$B$13=1,A14=0),0,C14)</x:f>
        <x:v>539</x:v>
      </x:c>
      <x:c r="E14" s="102" t="n">
        <x:f>IF(A14=0,0,C14)</x:f>
        <x:v>539</x:v>
      </x:c>
      <x:c r="F14" s="102" t="n">
        <x:f>C14-C13</x:f>
        <x:v>5</x:v>
      </x:c>
      <x:c r="G14" s="103" t="n">
        <x:f>D14*INDEX('기본 맵 및 CM3'!$D$5:$D$8,'요약'!$B$5)</x:f>
        <x:v>26950</x:v>
      </x:c>
    </x:row>
    <x:row r="15">
      <x:c r="A15" s="131" t="n">
        <x:v>10</x:v>
      </x:c>
      <x:c r="B15" s="55" t="n">
        <x:f>A15*4</x:f>
        <x:v>40</x:v>
      </x:c>
      <x:c r="C15" s="102" t="n">
        <x:f>INDEX('기본 맵 및 CM3'!$Q$5:$Q$8,'요약'!$B$5)+INT(INDEX('기본 맵 및 CM3'!$K$5:$K$8,'요약'!$B$5)*A15/4096)</x:f>
        <x:v>544</x:v>
      </x:c>
      <x:c r="D15" s="102" t="n">
        <x:f>IF(AND('요약'!$B$13=1,A15=0),0,C15)</x:f>
        <x:v>544</x:v>
      </x:c>
      <x:c r="E15" s="102" t="n">
        <x:f>IF(A15=0,0,C15)</x:f>
        <x:v>544</x:v>
      </x:c>
      <x:c r="F15" s="102" t="n">
        <x:f>C15-C14</x:f>
        <x:v>5</x:v>
      </x:c>
      <x:c r="G15" s="103" t="n">
        <x:f>D15*INDEX('기본 맵 및 CM3'!$D$5:$D$8,'요약'!$B$5)</x:f>
        <x:v>27200</x:v>
      </x:c>
    </x:row>
    <x:row r="16">
      <x:c r="A16" s="131" t="n">
        <x:v>11</x:v>
      </x:c>
      <x:c r="B16" s="55" t="n">
        <x:f>A16*4</x:f>
        <x:v>44</x:v>
      </x:c>
      <x:c r="C16" s="102" t="n">
        <x:f>INDEX('기본 맵 및 CM3'!$Q$5:$Q$8,'요약'!$B$5)+INT(INDEX('기본 맵 및 CM3'!$K$5:$K$8,'요약'!$B$5)*A16/4096)</x:f>
        <x:v>548</x:v>
      </x:c>
      <x:c r="D16" s="102" t="n">
        <x:f>IF(AND('요약'!$B$13=1,A16=0),0,C16)</x:f>
        <x:v>548</x:v>
      </x:c>
      <x:c r="E16" s="102" t="n">
        <x:f>IF(A16=0,0,C16)</x:f>
        <x:v>548</x:v>
      </x:c>
      <x:c r="F16" s="102" t="n">
        <x:f>C16-C15</x:f>
        <x:v>4</x:v>
      </x:c>
      <x:c r="G16" s="103" t="n">
        <x:f>D16*INDEX('기본 맵 및 CM3'!$D$5:$D$8,'요약'!$B$5)</x:f>
        <x:v>27400</x:v>
      </x:c>
    </x:row>
    <x:row r="17">
      <x:c r="A17" s="131" t="n">
        <x:v>12</x:v>
      </x:c>
      <x:c r="B17" s="55" t="n">
        <x:f>A17*4</x:f>
        <x:v>48</x:v>
      </x:c>
      <x:c r="C17" s="102" t="n">
        <x:f>INDEX('기본 맵 및 CM3'!$Q$5:$Q$8,'요약'!$B$5)+INT(INDEX('기본 맵 및 CM3'!$K$5:$K$8,'요약'!$B$5)*A17/4096)</x:f>
        <x:v>553</x:v>
      </x:c>
      <x:c r="D17" s="102" t="n">
        <x:f>IF(AND('요약'!$B$13=1,A17=0),0,C17)</x:f>
        <x:v>553</x:v>
      </x:c>
      <x:c r="E17" s="102" t="n">
        <x:f>IF(A17=0,0,C17)</x:f>
        <x:v>553</x:v>
      </x:c>
      <x:c r="F17" s="102" t="n">
        <x:f>C17-C16</x:f>
        <x:v>5</x:v>
      </x:c>
      <x:c r="G17" s="103" t="n">
        <x:f>D17*INDEX('기본 맵 및 CM3'!$D$5:$D$8,'요약'!$B$5)</x:f>
        <x:v>27650</x:v>
      </x:c>
    </x:row>
    <x:row r="18">
      <x:c r="A18" s="131" t="n">
        <x:v>13</x:v>
      </x:c>
      <x:c r="B18" s="55" t="n">
        <x:f>A18*4</x:f>
        <x:v>52</x:v>
      </x:c>
      <x:c r="C18" s="102" t="n">
        <x:f>INDEX('기본 맵 및 CM3'!$Q$5:$Q$8,'요약'!$B$5)+INT(INDEX('기본 맵 및 CM3'!$K$5:$K$8,'요약'!$B$5)*A18/4096)</x:f>
        <x:v>558</x:v>
      </x:c>
      <x:c r="D18" s="102" t="n">
        <x:f>IF(AND('요약'!$B$13=1,A18=0),0,C18)</x:f>
        <x:v>558</x:v>
      </x:c>
      <x:c r="E18" s="102" t="n">
        <x:f>IF(A18=0,0,C18)</x:f>
        <x:v>558</x:v>
      </x:c>
      <x:c r="F18" s="102" t="n">
        <x:f>C18-C17</x:f>
        <x:v>5</x:v>
      </x:c>
      <x:c r="G18" s="103" t="n">
        <x:f>D18*INDEX('기본 맵 및 CM3'!$D$5:$D$8,'요약'!$B$5)</x:f>
        <x:v>27900</x:v>
      </x:c>
    </x:row>
    <x:row r="19">
      <x:c r="A19" s="131" t="n">
        <x:v>14</x:v>
      </x:c>
      <x:c r="B19" s="55" t="n">
        <x:f>A19*4</x:f>
        <x:v>56</x:v>
      </x:c>
      <x:c r="C19" s="102" t="n">
        <x:f>INDEX('기본 맵 및 CM3'!$Q$5:$Q$8,'요약'!$B$5)+INT(INDEX('기본 맵 및 CM3'!$K$5:$K$8,'요약'!$B$5)*A19/4096)</x:f>
        <x:v>563</x:v>
      </x:c>
      <x:c r="D19" s="102" t="n">
        <x:f>IF(AND('요약'!$B$13=1,A19=0),0,C19)</x:f>
        <x:v>563</x:v>
      </x:c>
      <x:c r="E19" s="102" t="n">
        <x:f>IF(A19=0,0,C19)</x:f>
        <x:v>563</x:v>
      </x:c>
      <x:c r="F19" s="102" t="n">
        <x:f>C19-C18</x:f>
        <x:v>5</x:v>
      </x:c>
      <x:c r="G19" s="103" t="n">
        <x:f>D19*INDEX('기본 맵 및 CM3'!$D$5:$D$8,'요약'!$B$5)</x:f>
        <x:v>28150</x:v>
      </x:c>
    </x:row>
    <x:row r="20">
      <x:c r="A20" s="131" t="n">
        <x:v>15</x:v>
      </x:c>
      <x:c r="B20" s="55" t="n">
        <x:f>A20*4</x:f>
        <x:v>60</x:v>
      </x:c>
      <x:c r="C20" s="102" t="n">
        <x:f>INDEX('기본 맵 및 CM3'!$Q$5:$Q$8,'요약'!$B$5)+INT(INDEX('기본 맵 및 CM3'!$K$5:$K$8,'요약'!$B$5)*A20/4096)</x:f>
        <x:v>567</x:v>
      </x:c>
      <x:c r="D20" s="102" t="n">
        <x:f>IF(AND('요약'!$B$13=1,A20=0),0,C20)</x:f>
        <x:v>567</x:v>
      </x:c>
      <x:c r="E20" s="102" t="n">
        <x:f>IF(A20=0,0,C20)</x:f>
        <x:v>567</x:v>
      </x:c>
      <x:c r="F20" s="102" t="n">
        <x:f>C20-C19</x:f>
        <x:v>4</x:v>
      </x:c>
      <x:c r="G20" s="103" t="n">
        <x:f>D20*INDEX('기본 맵 및 CM3'!$D$5:$D$8,'요약'!$B$5)</x:f>
        <x:v>28350</x:v>
      </x:c>
    </x:row>
    <x:row r="21">
      <x:c r="A21" s="131" t="n">
        <x:v>16</x:v>
      </x:c>
      <x:c r="B21" s="55" t="n">
        <x:f>A21*4</x:f>
        <x:v>64</x:v>
      </x:c>
      <x:c r="C21" s="102" t="n">
        <x:f>INDEX('기본 맵 및 CM3'!$Q$5:$Q$8,'요약'!$B$5)+INT(INDEX('기본 맵 및 CM3'!$K$5:$K$8,'요약'!$B$5)*A21/4096)</x:f>
        <x:v>572</x:v>
      </x:c>
      <x:c r="D21" s="102" t="n">
        <x:f>IF(AND('요약'!$B$13=1,A21=0),0,C21)</x:f>
        <x:v>572</x:v>
      </x:c>
      <x:c r="E21" s="102" t="n">
        <x:f>IF(A21=0,0,C21)</x:f>
        <x:v>572</x:v>
      </x:c>
      <x:c r="F21" s="102" t="n">
        <x:f>C21-C20</x:f>
        <x:v>5</x:v>
      </x:c>
      <x:c r="G21" s="103" t="n">
        <x:f>D21*INDEX('기본 맵 및 CM3'!$D$5:$D$8,'요약'!$B$5)</x:f>
        <x:v>28600</x:v>
      </x:c>
    </x:row>
    <x:row r="22">
      <x:c r="A22" s="131" t="n">
        <x:v>17</x:v>
      </x:c>
      <x:c r="B22" s="55" t="n">
        <x:f>A22*4</x:f>
        <x:v>68</x:v>
      </x:c>
      <x:c r="C22" s="102" t="n">
        <x:f>INDEX('기본 맵 및 CM3'!$Q$5:$Q$8,'요약'!$B$5)+INT(INDEX('기본 맵 및 CM3'!$K$5:$K$8,'요약'!$B$5)*A22/4096)</x:f>
        <x:v>577</x:v>
      </x:c>
      <x:c r="D22" s="102" t="n">
        <x:f>IF(AND('요약'!$B$13=1,A22=0),0,C22)</x:f>
        <x:v>577</x:v>
      </x:c>
      <x:c r="E22" s="102" t="n">
        <x:f>IF(A22=0,0,C22)</x:f>
        <x:v>577</x:v>
      </x:c>
      <x:c r="F22" s="102" t="n">
        <x:f>C22-C21</x:f>
        <x:v>5</x:v>
      </x:c>
      <x:c r="G22" s="103" t="n">
        <x:f>D22*INDEX('기본 맵 및 CM3'!$D$5:$D$8,'요약'!$B$5)</x:f>
        <x:v>28850</x:v>
      </x:c>
    </x:row>
    <x:row r="23">
      <x:c r="A23" s="131" t="n">
        <x:v>18</x:v>
      </x:c>
      <x:c r="B23" s="55" t="n">
        <x:f>A23*4</x:f>
        <x:v>72</x:v>
      </x:c>
      <x:c r="C23" s="102" t="n">
        <x:f>INDEX('기본 맵 및 CM3'!$Q$5:$Q$8,'요약'!$B$5)+INT(INDEX('기본 맵 및 CM3'!$K$5:$K$8,'요약'!$B$5)*A23/4096)</x:f>
        <x:v>581</x:v>
      </x:c>
      <x:c r="D23" s="102" t="n">
        <x:f>IF(AND('요약'!$B$13=1,A23=0),0,C23)</x:f>
        <x:v>581</x:v>
      </x:c>
      <x:c r="E23" s="102" t="n">
        <x:f>IF(A23=0,0,C23)</x:f>
        <x:v>581</x:v>
      </x:c>
      <x:c r="F23" s="102" t="n">
        <x:f>C23-C22</x:f>
        <x:v>4</x:v>
      </x:c>
      <x:c r="G23" s="103" t="n">
        <x:f>D23*INDEX('기본 맵 및 CM3'!$D$5:$D$8,'요약'!$B$5)</x:f>
        <x:v>29050</x:v>
      </x:c>
    </x:row>
    <x:row r="24">
      <x:c r="A24" s="131" t="n">
        <x:v>19</x:v>
      </x:c>
      <x:c r="B24" s="55" t="n">
        <x:f>A24*4</x:f>
        <x:v>76</x:v>
      </x:c>
      <x:c r="C24" s="102" t="n">
        <x:f>INDEX('기본 맵 및 CM3'!$Q$5:$Q$8,'요약'!$B$5)+INT(INDEX('기본 맵 및 CM3'!$K$5:$K$8,'요약'!$B$5)*A24/4096)</x:f>
        <x:v>586</x:v>
      </x:c>
      <x:c r="D24" s="102" t="n">
        <x:f>IF(AND('요약'!$B$13=1,A24=0),0,C24)</x:f>
        <x:v>586</x:v>
      </x:c>
      <x:c r="E24" s="102" t="n">
        <x:f>IF(A24=0,0,C24)</x:f>
        <x:v>586</x:v>
      </x:c>
      <x:c r="F24" s="102" t="n">
        <x:f>C24-C23</x:f>
        <x:v>5</x:v>
      </x:c>
      <x:c r="G24" s="103" t="n">
        <x:f>D24*INDEX('기본 맵 및 CM3'!$D$5:$D$8,'요약'!$B$5)</x:f>
        <x:v>29300</x:v>
      </x:c>
    </x:row>
    <x:row r="25">
      <x:c r="A25" s="131" t="n">
        <x:v>20</x:v>
      </x:c>
      <x:c r="B25" s="55" t="n">
        <x:f>A25*4</x:f>
        <x:v>80</x:v>
      </x:c>
      <x:c r="C25" s="102" t="n">
        <x:f>INDEX('기본 맵 및 CM3'!$Q$5:$Q$8,'요약'!$B$5)+INT(INDEX('기본 맵 및 CM3'!$K$5:$K$8,'요약'!$B$5)*A25/4096)</x:f>
        <x:v>591</x:v>
      </x:c>
      <x:c r="D25" s="102" t="n">
        <x:f>IF(AND('요약'!$B$13=1,A25=0),0,C25)</x:f>
        <x:v>591</x:v>
      </x:c>
      <x:c r="E25" s="102" t="n">
        <x:f>IF(A25=0,0,C25)</x:f>
        <x:v>591</x:v>
      </x:c>
      <x:c r="F25" s="102" t="n">
        <x:f>C25-C24</x:f>
        <x:v>5</x:v>
      </x:c>
      <x:c r="G25" s="103" t="n">
        <x:f>D25*INDEX('기본 맵 및 CM3'!$D$5:$D$8,'요약'!$B$5)</x:f>
        <x:v>29550</x:v>
      </x:c>
    </x:row>
    <x:row r="26">
      <x:c r="A26" s="131" t="n">
        <x:v>21</x:v>
      </x:c>
      <x:c r="B26" s="55" t="n">
        <x:f>A26*4</x:f>
        <x:v>84</x:v>
      </x:c>
      <x:c r="C26" s="102" t="n">
        <x:f>INDEX('기본 맵 및 CM3'!$Q$5:$Q$8,'요약'!$B$5)+INT(INDEX('기본 맵 및 CM3'!$K$5:$K$8,'요약'!$B$5)*A26/4096)</x:f>
        <x:v>596</x:v>
      </x:c>
      <x:c r="D26" s="102" t="n">
        <x:f>IF(AND('요약'!$B$13=1,A26=0),0,C26)</x:f>
        <x:v>596</x:v>
      </x:c>
      <x:c r="E26" s="102" t="n">
        <x:f>IF(A26=0,0,C26)</x:f>
        <x:v>596</x:v>
      </x:c>
      <x:c r="F26" s="102" t="n">
        <x:f>C26-C25</x:f>
        <x:v>5</x:v>
      </x:c>
      <x:c r="G26" s="103" t="n">
        <x:f>D26*INDEX('기본 맵 및 CM3'!$D$5:$D$8,'요약'!$B$5)</x:f>
        <x:v>29800</x:v>
      </x:c>
    </x:row>
    <x:row r="27">
      <x:c r="A27" s="131" t="n">
        <x:v>22</x:v>
      </x:c>
      <x:c r="B27" s="55" t="n">
        <x:f>A27*4</x:f>
        <x:v>88</x:v>
      </x:c>
      <x:c r="C27" s="102" t="n">
        <x:f>INDEX('기본 맵 및 CM3'!$Q$5:$Q$8,'요약'!$B$5)+INT(INDEX('기본 맵 및 CM3'!$K$5:$K$8,'요약'!$B$5)*A27/4096)</x:f>
        <x:v>600</x:v>
      </x:c>
      <x:c r="D27" s="102" t="n">
        <x:f>IF(AND('요약'!$B$13=1,A27=0),0,C27)</x:f>
        <x:v>600</x:v>
      </x:c>
      <x:c r="E27" s="102" t="n">
        <x:f>IF(A27=0,0,C27)</x:f>
        <x:v>600</x:v>
      </x:c>
      <x:c r="F27" s="102" t="n">
        <x:f>C27-C26</x:f>
        <x:v>4</x:v>
      </x:c>
      <x:c r="G27" s="103" t="n">
        <x:f>D27*INDEX('기본 맵 및 CM3'!$D$5:$D$8,'요약'!$B$5)</x:f>
        <x:v>30000</x:v>
      </x:c>
    </x:row>
    <x:row r="28">
      <x:c r="A28" s="131" t="n">
        <x:v>23</x:v>
      </x:c>
      <x:c r="B28" s="55" t="n">
        <x:f>A28*4</x:f>
        <x:v>92</x:v>
      </x:c>
      <x:c r="C28" s="102" t="n">
        <x:f>INDEX('기본 맵 및 CM3'!$Q$5:$Q$8,'요약'!$B$5)+INT(INDEX('기본 맵 및 CM3'!$K$5:$K$8,'요약'!$B$5)*A28/4096)</x:f>
        <x:v>605</x:v>
      </x:c>
      <x:c r="D28" s="102" t="n">
        <x:f>IF(AND('요약'!$B$13=1,A28=0),0,C28)</x:f>
        <x:v>605</x:v>
      </x:c>
      <x:c r="E28" s="102" t="n">
        <x:f>IF(A28=0,0,C28)</x:f>
        <x:v>605</x:v>
      </x:c>
      <x:c r="F28" s="102" t="n">
        <x:f>C28-C27</x:f>
        <x:v>5</x:v>
      </x:c>
      <x:c r="G28" s="103" t="n">
        <x:f>D28*INDEX('기본 맵 및 CM3'!$D$5:$D$8,'요약'!$B$5)</x:f>
        <x:v>30250</x:v>
      </x:c>
    </x:row>
    <x:row r="29">
      <x:c r="A29" s="131" t="n">
        <x:v>24</x:v>
      </x:c>
      <x:c r="B29" s="55" t="n">
        <x:f>A29*4</x:f>
        <x:v>96</x:v>
      </x:c>
      <x:c r="C29" s="102" t="n">
        <x:f>INDEX('기본 맵 및 CM3'!$Q$5:$Q$8,'요약'!$B$5)+INT(INDEX('기본 맵 및 CM3'!$K$5:$K$8,'요약'!$B$5)*A29/4096)</x:f>
        <x:v>610</x:v>
      </x:c>
      <x:c r="D29" s="102" t="n">
        <x:f>IF(AND('요약'!$B$13=1,A29=0),0,C29)</x:f>
        <x:v>610</x:v>
      </x:c>
      <x:c r="E29" s="102" t="n">
        <x:f>IF(A29=0,0,C29)</x:f>
        <x:v>610</x:v>
      </x:c>
      <x:c r="F29" s="102" t="n">
        <x:f>C29-C28</x:f>
        <x:v>5</x:v>
      </x:c>
      <x:c r="G29" s="103" t="n">
        <x:f>D29*INDEX('기본 맵 및 CM3'!$D$5:$D$8,'요약'!$B$5)</x:f>
        <x:v>30500</x:v>
      </x:c>
    </x:row>
    <x:row r="30">
      <x:c r="A30" s="131" t="n">
        <x:v>25</x:v>
      </x:c>
      <x:c r="B30" s="55" t="n">
        <x:f>A30*4</x:f>
        <x:v>100</x:v>
      </x:c>
      <x:c r="C30" s="102" t="n">
        <x:f>INDEX('기본 맵 및 CM3'!$Q$5:$Q$8,'요약'!$B$5)+INT(INDEX('기본 맵 및 CM3'!$K$5:$K$8,'요약'!$B$5)*A30/4096)</x:f>
        <x:v>614</x:v>
      </x:c>
      <x:c r="D30" s="102" t="n">
        <x:f>IF(AND('요약'!$B$13=1,A30=0),0,C30)</x:f>
        <x:v>614</x:v>
      </x:c>
      <x:c r="E30" s="102" t="n">
        <x:f>IF(A30=0,0,C30)</x:f>
        <x:v>614</x:v>
      </x:c>
      <x:c r="F30" s="102" t="n">
        <x:f>C30-C29</x:f>
        <x:v>4</x:v>
      </x:c>
      <x:c r="G30" s="103" t="n">
        <x:f>D30*INDEX('기본 맵 및 CM3'!$D$5:$D$8,'요약'!$B$5)</x:f>
        <x:v>30700</x:v>
      </x:c>
    </x:row>
    <x:row r="31">
      <x:c r="A31" s="131" t="n">
        <x:v>26</x:v>
      </x:c>
      <x:c r="B31" s="55" t="n">
        <x:f>A31*4</x:f>
        <x:v>104</x:v>
      </x:c>
      <x:c r="C31" s="102" t="n">
        <x:f>INDEX('기본 맵 및 CM3'!$Q$5:$Q$8,'요약'!$B$5)+INT(INDEX('기본 맵 및 CM3'!$K$5:$K$8,'요약'!$B$5)*A31/4096)</x:f>
        <x:v>619</x:v>
      </x:c>
      <x:c r="D31" s="102" t="n">
        <x:f>IF(AND('요약'!$B$13=1,A31=0),0,C31)</x:f>
        <x:v>619</x:v>
      </x:c>
      <x:c r="E31" s="102" t="n">
        <x:f>IF(A31=0,0,C31)</x:f>
        <x:v>619</x:v>
      </x:c>
      <x:c r="F31" s="102" t="n">
        <x:f>C31-C30</x:f>
        <x:v>5</x:v>
      </x:c>
      <x:c r="G31" s="103" t="n">
        <x:f>D31*INDEX('기본 맵 및 CM3'!$D$5:$D$8,'요약'!$B$5)</x:f>
        <x:v>30950</x:v>
      </x:c>
    </x:row>
    <x:row r="32">
      <x:c r="A32" s="131" t="n">
        <x:v>27</x:v>
      </x:c>
      <x:c r="B32" s="55" t="n">
        <x:f>A32*4</x:f>
        <x:v>108</x:v>
      </x:c>
      <x:c r="C32" s="102" t="n">
        <x:f>INDEX('기본 맵 및 CM3'!$Q$5:$Q$8,'요약'!$B$5)+INT(INDEX('기본 맵 및 CM3'!$K$5:$K$8,'요약'!$B$5)*A32/4096)</x:f>
        <x:v>624</x:v>
      </x:c>
      <x:c r="D32" s="102" t="n">
        <x:f>IF(AND('요약'!$B$13=1,A32=0),0,C32)</x:f>
        <x:v>624</x:v>
      </x:c>
      <x:c r="E32" s="102" t="n">
        <x:f>IF(A32=0,0,C32)</x:f>
        <x:v>624</x:v>
      </x:c>
      <x:c r="F32" s="102" t="n">
        <x:f>C32-C31</x:f>
        <x:v>5</x:v>
      </x:c>
      <x:c r="G32" s="103" t="n">
        <x:f>D32*INDEX('기본 맵 및 CM3'!$D$5:$D$8,'요약'!$B$5)</x:f>
        <x:v>31200</x:v>
      </x:c>
    </x:row>
    <x:row r="33">
      <x:c r="A33" s="131" t="n">
        <x:v>28</x:v>
      </x:c>
      <x:c r="B33" s="55" t="n">
        <x:f>A33*4</x:f>
        <x:v>112</x:v>
      </x:c>
      <x:c r="C33" s="102" t="n">
        <x:f>INDEX('기본 맵 및 CM3'!$Q$5:$Q$8,'요약'!$B$5)+INT(INDEX('기본 맵 및 CM3'!$K$5:$K$8,'요약'!$B$5)*A33/4096)</x:f>
        <x:v>629</x:v>
      </x:c>
      <x:c r="D33" s="102" t="n">
        <x:f>IF(AND('요약'!$B$13=1,A33=0),0,C33)</x:f>
        <x:v>629</x:v>
      </x:c>
      <x:c r="E33" s="102" t="n">
        <x:f>IF(A33=0,0,C33)</x:f>
        <x:v>629</x:v>
      </x:c>
      <x:c r="F33" s="102" t="n">
        <x:f>C33-C32</x:f>
        <x:v>5</x:v>
      </x:c>
      <x:c r="G33" s="103" t="n">
        <x:f>D33*INDEX('기본 맵 및 CM3'!$D$5:$D$8,'요약'!$B$5)</x:f>
        <x:v>31450</x:v>
      </x:c>
    </x:row>
    <x:row r="34">
      <x:c r="A34" s="131" t="n">
        <x:v>29</x:v>
      </x:c>
      <x:c r="B34" s="55" t="n">
        <x:f>A34*4</x:f>
        <x:v>116</x:v>
      </x:c>
      <x:c r="C34" s="102" t="n">
        <x:f>INDEX('기본 맵 및 CM3'!$Q$5:$Q$8,'요약'!$B$5)+INT(INDEX('기본 맵 및 CM3'!$K$5:$K$8,'요약'!$B$5)*A34/4096)</x:f>
        <x:v>633</x:v>
      </x:c>
      <x:c r="D34" s="102" t="n">
        <x:f>IF(AND('요약'!$B$13=1,A34=0),0,C34)</x:f>
        <x:v>633</x:v>
      </x:c>
      <x:c r="E34" s="102" t="n">
        <x:f>IF(A34=0,0,C34)</x:f>
        <x:v>633</x:v>
      </x:c>
      <x:c r="F34" s="102" t="n">
        <x:f>C34-C33</x:f>
        <x:v>4</x:v>
      </x:c>
      <x:c r="G34" s="103" t="n">
        <x:f>D34*INDEX('기본 맵 및 CM3'!$D$5:$D$8,'요약'!$B$5)</x:f>
        <x:v>31650</x:v>
      </x:c>
    </x:row>
    <x:row r="35">
      <x:c r="A35" s="131" t="n">
        <x:v>30</x:v>
      </x:c>
      <x:c r="B35" s="55" t="n">
        <x:f>A35*4</x:f>
        <x:v>120</x:v>
      </x:c>
      <x:c r="C35" s="102" t="n">
        <x:f>INDEX('기본 맵 및 CM3'!$Q$5:$Q$8,'요약'!$B$5)+INT(INDEX('기본 맵 및 CM3'!$K$5:$K$8,'요약'!$B$5)*A35/4096)</x:f>
        <x:v>638</x:v>
      </x:c>
      <x:c r="D35" s="102" t="n">
        <x:f>IF(AND('요약'!$B$13=1,A35=0),0,C35)</x:f>
        <x:v>638</x:v>
      </x:c>
      <x:c r="E35" s="102" t="n">
        <x:f>IF(A35=0,0,C35)</x:f>
        <x:v>638</x:v>
      </x:c>
      <x:c r="F35" s="102" t="n">
        <x:f>C35-C34</x:f>
        <x:v>5</x:v>
      </x:c>
      <x:c r="G35" s="103" t="n">
        <x:f>D35*INDEX('기본 맵 및 CM3'!$D$5:$D$8,'요약'!$B$5)</x:f>
        <x:v>31900</x:v>
      </x:c>
    </x:row>
    <x:row r="36">
      <x:c r="A36" s="131" t="n">
        <x:v>31</x:v>
      </x:c>
      <x:c r="B36" s="55" t="n">
        <x:f>A36*4</x:f>
        <x:v>124</x:v>
      </x:c>
      <x:c r="C36" s="102" t="n">
        <x:f>INDEX('기본 맵 및 CM3'!$Q$5:$Q$8,'요약'!$B$5)+INT(INDEX('기본 맵 및 CM3'!$K$5:$K$8,'요약'!$B$5)*A36/4096)</x:f>
        <x:v>643</x:v>
      </x:c>
      <x:c r="D36" s="102" t="n">
        <x:f>IF(AND('요약'!$B$13=1,A36=0),0,C36)</x:f>
        <x:v>643</x:v>
      </x:c>
      <x:c r="E36" s="102" t="n">
        <x:f>IF(A36=0,0,C36)</x:f>
        <x:v>643</x:v>
      </x:c>
      <x:c r="F36" s="102" t="n">
        <x:f>C36-C35</x:f>
        <x:v>5</x:v>
      </x:c>
      <x:c r="G36" s="103" t="n">
        <x:f>D36*INDEX('기본 맵 및 CM3'!$D$5:$D$8,'요약'!$B$5)</x:f>
        <x:v>32150</x:v>
      </x:c>
    </x:row>
    <x:row r="37">
      <x:c r="A37" s="131" t="n">
        <x:v>32</x:v>
      </x:c>
      <x:c r="B37" s="55" t="n">
        <x:f>A37*4</x:f>
        <x:v>128</x:v>
      </x:c>
      <x:c r="C37" s="102" t="n">
        <x:f>INDEX('기본 맵 및 CM3'!$Q$5:$Q$8,'요약'!$B$5)+INT(INDEX('기본 맵 및 CM3'!$K$5:$K$8,'요약'!$B$5)*A37/4096)</x:f>
        <x:v>648</x:v>
      </x:c>
      <x:c r="D37" s="102" t="n">
        <x:f>IF(AND('요약'!$B$13=1,A37=0),0,C37)</x:f>
        <x:v>648</x:v>
      </x:c>
      <x:c r="E37" s="102" t="n">
        <x:f>IF(A37=0,0,C37)</x:f>
        <x:v>648</x:v>
      </x:c>
      <x:c r="F37" s="102" t="n">
        <x:f>C37-C36</x:f>
        <x:v>5</x:v>
      </x:c>
      <x:c r="G37" s="103" t="n">
        <x:f>D37*INDEX('기본 맵 및 CM3'!$D$5:$D$8,'요약'!$B$5)</x:f>
        <x:v>32400</x:v>
      </x:c>
    </x:row>
    <x:row r="38">
      <x:c r="A38" s="131" t="n">
        <x:v>33</x:v>
      </x:c>
      <x:c r="B38" s="55" t="n">
        <x:f>A38*4</x:f>
        <x:v>132</x:v>
      </x:c>
      <x:c r="C38" s="102" t="n">
        <x:f>INDEX('기본 맵 및 CM3'!$Q$5:$Q$8,'요약'!$B$5)+INT(INDEX('기본 맵 및 CM3'!$K$5:$K$8,'요약'!$B$5)*A38/4096)</x:f>
        <x:v>652</x:v>
      </x:c>
      <x:c r="D38" s="102" t="n">
        <x:f>IF(AND('요약'!$B$13=1,A38=0),0,C38)</x:f>
        <x:v>652</x:v>
      </x:c>
      <x:c r="E38" s="102" t="n">
        <x:f>IF(A38=0,0,C38)</x:f>
        <x:v>652</x:v>
      </x:c>
      <x:c r="F38" s="102" t="n">
        <x:f>C38-C37</x:f>
        <x:v>4</x:v>
      </x:c>
      <x:c r="G38" s="103" t="n">
        <x:f>D38*INDEX('기본 맵 및 CM3'!$D$5:$D$8,'요약'!$B$5)</x:f>
        <x:v>32600</x:v>
      </x:c>
    </x:row>
    <x:row r="39">
      <x:c r="A39" s="131" t="n">
        <x:v>34</x:v>
      </x:c>
      <x:c r="B39" s="55" t="n">
        <x:f>A39*4</x:f>
        <x:v>136</x:v>
      </x:c>
      <x:c r="C39" s="102" t="n">
        <x:f>INDEX('기본 맵 및 CM3'!$Q$5:$Q$8,'요약'!$B$5)+INT(INDEX('기본 맵 및 CM3'!$K$5:$K$8,'요약'!$B$5)*A39/4096)</x:f>
        <x:v>657</x:v>
      </x:c>
      <x:c r="D39" s="102" t="n">
        <x:f>IF(AND('요약'!$B$13=1,A39=0),0,C39)</x:f>
        <x:v>657</x:v>
      </x:c>
      <x:c r="E39" s="102" t="n">
        <x:f>IF(A39=0,0,C39)</x:f>
        <x:v>657</x:v>
      </x:c>
      <x:c r="F39" s="102" t="n">
        <x:f>C39-C38</x:f>
        <x:v>5</x:v>
      </x:c>
      <x:c r="G39" s="103" t="n">
        <x:f>D39*INDEX('기본 맵 및 CM3'!$D$5:$D$8,'요약'!$B$5)</x:f>
        <x:v>32850</x:v>
      </x:c>
    </x:row>
    <x:row r="40">
      <x:c r="A40" s="131" t="n">
        <x:v>35</x:v>
      </x:c>
      <x:c r="B40" s="55" t="n">
        <x:f>A40*4</x:f>
        <x:v>140</x:v>
      </x:c>
      <x:c r="C40" s="102" t="n">
        <x:f>INDEX('기본 맵 및 CM3'!$Q$5:$Q$8,'요약'!$B$5)+INT(INDEX('기본 맵 및 CM3'!$K$5:$K$8,'요약'!$B$5)*A40/4096)</x:f>
        <x:v>662</x:v>
      </x:c>
      <x:c r="D40" s="102" t="n">
        <x:f>IF(AND('요약'!$B$13=1,A40=0),0,C40)</x:f>
        <x:v>662</x:v>
      </x:c>
      <x:c r="E40" s="102" t="n">
        <x:f>IF(A40=0,0,C40)</x:f>
        <x:v>662</x:v>
      </x:c>
      <x:c r="F40" s="102" t="n">
        <x:f>C40-C39</x:f>
        <x:v>5</x:v>
      </x:c>
      <x:c r="G40" s="103" t="n">
        <x:f>D40*INDEX('기본 맵 및 CM3'!$D$5:$D$8,'요약'!$B$5)</x:f>
        <x:v>33100</x:v>
      </x:c>
    </x:row>
    <x:row r="41">
      <x:c r="A41" s="131" t="n">
        <x:v>36</x:v>
      </x:c>
      <x:c r="B41" s="55" t="n">
        <x:f>A41*4</x:f>
        <x:v>144</x:v>
      </x:c>
      <x:c r="C41" s="102" t="n">
        <x:f>INDEX('기본 맵 및 CM3'!$Q$5:$Q$8,'요약'!$B$5)+INT(INDEX('기본 맵 및 CM3'!$K$5:$K$8,'요약'!$B$5)*A41/4096)</x:f>
        <x:v>666</x:v>
      </x:c>
      <x:c r="D41" s="102" t="n">
        <x:f>IF(AND('요약'!$B$13=1,A41=0),0,C41)</x:f>
        <x:v>666</x:v>
      </x:c>
      <x:c r="E41" s="102" t="n">
        <x:f>IF(A41=0,0,C41)</x:f>
        <x:v>666</x:v>
      </x:c>
      <x:c r="F41" s="102" t="n">
        <x:f>C41-C40</x:f>
        <x:v>4</x:v>
      </x:c>
      <x:c r="G41" s="103" t="n">
        <x:f>D41*INDEX('기본 맵 및 CM3'!$D$5:$D$8,'요약'!$B$5)</x:f>
        <x:v>33300</x:v>
      </x:c>
    </x:row>
    <x:row r="42">
      <x:c r="A42" s="131" t="n">
        <x:v>37</x:v>
      </x:c>
      <x:c r="B42" s="55" t="n">
        <x:f>A42*4</x:f>
        <x:v>148</x:v>
      </x:c>
      <x:c r="C42" s="102" t="n">
        <x:f>INDEX('기본 맵 및 CM3'!$Q$5:$Q$8,'요약'!$B$5)+INT(INDEX('기본 맵 및 CM3'!$K$5:$K$8,'요약'!$B$5)*A42/4096)</x:f>
        <x:v>671</x:v>
      </x:c>
      <x:c r="D42" s="102" t="n">
        <x:f>IF(AND('요약'!$B$13=1,A42=0),0,C42)</x:f>
        <x:v>671</x:v>
      </x:c>
      <x:c r="E42" s="102" t="n">
        <x:f>IF(A42=0,0,C42)</x:f>
        <x:v>671</x:v>
      </x:c>
      <x:c r="F42" s="102" t="n">
        <x:f>C42-C41</x:f>
        <x:v>5</x:v>
      </x:c>
      <x:c r="G42" s="103" t="n">
        <x:f>D42*INDEX('기본 맵 및 CM3'!$D$5:$D$8,'요약'!$B$5)</x:f>
        <x:v>33550</x:v>
      </x:c>
    </x:row>
    <x:row r="43">
      <x:c r="A43" s="131" t="n">
        <x:v>38</x:v>
      </x:c>
      <x:c r="B43" s="55" t="n">
        <x:f>A43*4</x:f>
        <x:v>152</x:v>
      </x:c>
      <x:c r="C43" s="102" t="n">
        <x:f>INDEX('기본 맵 및 CM3'!$Q$5:$Q$8,'요약'!$B$5)+INT(INDEX('기본 맵 및 CM3'!$K$5:$K$8,'요약'!$B$5)*A43/4096)</x:f>
        <x:v>676</x:v>
      </x:c>
      <x:c r="D43" s="102" t="n">
        <x:f>IF(AND('요약'!$B$13=1,A43=0),0,C43)</x:f>
        <x:v>676</x:v>
      </x:c>
      <x:c r="E43" s="102" t="n">
        <x:f>IF(A43=0,0,C43)</x:f>
        <x:v>676</x:v>
      </x:c>
      <x:c r="F43" s="102" t="n">
        <x:f>C43-C42</x:f>
        <x:v>5</x:v>
      </x:c>
      <x:c r="G43" s="103" t="n">
        <x:f>D43*INDEX('기본 맵 및 CM3'!$D$5:$D$8,'요약'!$B$5)</x:f>
        <x:v>33800</x:v>
      </x:c>
    </x:row>
    <x:row r="44">
      <x:c r="A44" s="131" t="n">
        <x:v>39</x:v>
      </x:c>
      <x:c r="B44" s="55" t="n">
        <x:f>A44*4</x:f>
        <x:v>156</x:v>
      </x:c>
      <x:c r="C44" s="102" t="n">
        <x:f>INDEX('기본 맵 및 CM3'!$Q$5:$Q$8,'요약'!$B$5)+INT(INDEX('기본 맵 및 CM3'!$K$5:$K$8,'요약'!$B$5)*A44/4096)</x:f>
        <x:v>681</x:v>
      </x:c>
      <x:c r="D44" s="102" t="n">
        <x:f>IF(AND('요약'!$B$13=1,A44=0),0,C44)</x:f>
        <x:v>681</x:v>
      </x:c>
      <x:c r="E44" s="102" t="n">
        <x:f>IF(A44=0,0,C44)</x:f>
        <x:v>681</x:v>
      </x:c>
      <x:c r="F44" s="102" t="n">
        <x:f>C44-C43</x:f>
        <x:v>5</x:v>
      </x:c>
      <x:c r="G44" s="103" t="n">
        <x:f>D44*INDEX('기본 맵 및 CM3'!$D$5:$D$8,'요약'!$B$5)</x:f>
        <x:v>34050</x:v>
      </x:c>
    </x:row>
    <x:row r="45">
      <x:c r="A45" s="131" t="n">
        <x:v>40</x:v>
      </x:c>
      <x:c r="B45" s="55" t="n">
        <x:f>A45*4</x:f>
        <x:v>160</x:v>
      </x:c>
      <x:c r="C45" s="102" t="n">
        <x:f>INDEX('기본 맵 및 CM3'!$Q$5:$Q$8,'요약'!$B$5)+INT(INDEX('기본 맵 및 CM3'!$K$5:$K$8,'요약'!$B$5)*A45/4096)</x:f>
        <x:v>685</x:v>
      </x:c>
      <x:c r="D45" s="102" t="n">
        <x:f>IF(AND('요약'!$B$13=1,A45=0),0,C45)</x:f>
        <x:v>685</x:v>
      </x:c>
      <x:c r="E45" s="102" t="n">
        <x:f>IF(A45=0,0,C45)</x:f>
        <x:v>685</x:v>
      </x:c>
      <x:c r="F45" s="102" t="n">
        <x:f>C45-C44</x:f>
        <x:v>4</x:v>
      </x:c>
      <x:c r="G45" s="103" t="n">
        <x:f>D45*INDEX('기본 맵 및 CM3'!$D$5:$D$8,'요약'!$B$5)</x:f>
        <x:v>34250</x:v>
      </x:c>
    </x:row>
    <x:row r="46">
      <x:c r="A46" s="131" t="n">
        <x:v>41</x:v>
      </x:c>
      <x:c r="B46" s="55" t="n">
        <x:f>A46*4</x:f>
        <x:v>164</x:v>
      </x:c>
      <x:c r="C46" s="102" t="n">
        <x:f>INDEX('기본 맵 및 CM3'!$Q$5:$Q$8,'요약'!$B$5)+INT(INDEX('기본 맵 및 CM3'!$K$5:$K$8,'요약'!$B$5)*A46/4096)</x:f>
        <x:v>690</x:v>
      </x:c>
      <x:c r="D46" s="102" t="n">
        <x:f>IF(AND('요약'!$B$13=1,A46=0),0,C46)</x:f>
        <x:v>690</x:v>
      </x:c>
      <x:c r="E46" s="102" t="n">
        <x:f>IF(A46=0,0,C46)</x:f>
        <x:v>690</x:v>
      </x:c>
      <x:c r="F46" s="102" t="n">
        <x:f>C46-C45</x:f>
        <x:v>5</x:v>
      </x:c>
      <x:c r="G46" s="103" t="n">
        <x:f>D46*INDEX('기본 맵 및 CM3'!$D$5:$D$8,'요약'!$B$5)</x:f>
        <x:v>34500</x:v>
      </x:c>
    </x:row>
    <x:row r="47">
      <x:c r="A47" s="131" t="n">
        <x:v>42</x:v>
      </x:c>
      <x:c r="B47" s="55" t="n">
        <x:f>A47*4</x:f>
        <x:v>168</x:v>
      </x:c>
      <x:c r="C47" s="102" t="n">
        <x:f>INDEX('기본 맵 및 CM3'!$Q$5:$Q$8,'요약'!$B$5)+INT(INDEX('기본 맵 및 CM3'!$K$5:$K$8,'요약'!$B$5)*A47/4096)</x:f>
        <x:v>695</x:v>
      </x:c>
      <x:c r="D47" s="102" t="n">
        <x:f>IF(AND('요약'!$B$13=1,A47=0),0,C47)</x:f>
        <x:v>695</x:v>
      </x:c>
      <x:c r="E47" s="102" t="n">
        <x:f>IF(A47=0,0,C47)</x:f>
        <x:v>695</x:v>
      </x:c>
      <x:c r="F47" s="102" t="n">
        <x:f>C47-C46</x:f>
        <x:v>5</x:v>
      </x:c>
      <x:c r="G47" s="103" t="n">
        <x:f>D47*INDEX('기본 맵 및 CM3'!$D$5:$D$8,'요약'!$B$5)</x:f>
        <x:v>34750</x:v>
      </x:c>
    </x:row>
    <x:row r="48">
      <x:c r="A48" s="131" t="n">
        <x:v>43</x:v>
      </x:c>
      <x:c r="B48" s="55" t="n">
        <x:f>A48*4</x:f>
        <x:v>172</x:v>
      </x:c>
      <x:c r="C48" s="102" t="n">
        <x:f>INDEX('기본 맵 및 CM3'!$Q$5:$Q$8,'요약'!$B$5)+INT(INDEX('기본 맵 및 CM3'!$K$5:$K$8,'요약'!$B$5)*A48/4096)</x:f>
        <x:v>699</x:v>
      </x:c>
      <x:c r="D48" s="102" t="n">
        <x:f>IF(AND('요약'!$B$13=1,A48=0),0,C48)</x:f>
        <x:v>699</x:v>
      </x:c>
      <x:c r="E48" s="102" t="n">
        <x:f>IF(A48=0,0,C48)</x:f>
        <x:v>699</x:v>
      </x:c>
      <x:c r="F48" s="102" t="n">
        <x:f>C48-C47</x:f>
        <x:v>4</x:v>
      </x:c>
      <x:c r="G48" s="103" t="n">
        <x:f>D48*INDEX('기본 맵 및 CM3'!$D$5:$D$8,'요약'!$B$5)</x:f>
        <x:v>34950</x:v>
      </x:c>
    </x:row>
    <x:row r="49">
      <x:c r="A49" s="131" t="n">
        <x:v>44</x:v>
      </x:c>
      <x:c r="B49" s="55" t="n">
        <x:f>A49*4</x:f>
        <x:v>176</x:v>
      </x:c>
      <x:c r="C49" s="102" t="n">
        <x:f>INDEX('기본 맵 및 CM3'!$Q$5:$Q$8,'요약'!$B$5)+INT(INDEX('기본 맵 및 CM3'!$K$5:$K$8,'요약'!$B$5)*A49/4096)</x:f>
        <x:v>704</x:v>
      </x:c>
      <x:c r="D49" s="102" t="n">
        <x:f>IF(AND('요약'!$B$13=1,A49=0),0,C49)</x:f>
        <x:v>704</x:v>
      </x:c>
      <x:c r="E49" s="102" t="n">
        <x:f>IF(A49=0,0,C49)</x:f>
        <x:v>704</x:v>
      </x:c>
      <x:c r="F49" s="102" t="n">
        <x:f>C49-C48</x:f>
        <x:v>5</x:v>
      </x:c>
      <x:c r="G49" s="103" t="n">
        <x:f>D49*INDEX('기본 맵 및 CM3'!$D$5:$D$8,'요약'!$B$5)</x:f>
        <x:v>35200</x:v>
      </x:c>
    </x:row>
    <x:row r="50">
      <x:c r="A50" s="131" t="n">
        <x:v>45</x:v>
      </x:c>
      <x:c r="B50" s="55" t="n">
        <x:f>A50*4</x:f>
        <x:v>180</x:v>
      </x:c>
      <x:c r="C50" s="102" t="n">
        <x:f>INDEX('기본 맵 및 CM3'!$Q$5:$Q$8,'요약'!$B$5)+INT(INDEX('기본 맵 및 CM3'!$K$5:$K$8,'요약'!$B$5)*A50/4096)</x:f>
        <x:v>709</x:v>
      </x:c>
      <x:c r="D50" s="102" t="n">
        <x:f>IF(AND('요약'!$B$13=1,A50=0),0,C50)</x:f>
        <x:v>709</x:v>
      </x:c>
      <x:c r="E50" s="102" t="n">
        <x:f>IF(A50=0,0,C50)</x:f>
        <x:v>709</x:v>
      </x:c>
      <x:c r="F50" s="102" t="n">
        <x:f>C50-C49</x:f>
        <x:v>5</x:v>
      </x:c>
      <x:c r="G50" s="103" t="n">
        <x:f>D50*INDEX('기본 맵 및 CM3'!$D$5:$D$8,'요약'!$B$5)</x:f>
        <x:v>35450</x:v>
      </x:c>
    </x:row>
    <x:row r="51">
      <x:c r="A51" s="131" t="n">
        <x:v>46</x:v>
      </x:c>
      <x:c r="B51" s="55" t="n">
        <x:f>A51*4</x:f>
        <x:v>184</x:v>
      </x:c>
      <x:c r="C51" s="102" t="n">
        <x:f>INDEX('기본 맵 및 CM3'!$Q$5:$Q$8,'요약'!$B$5)+INT(INDEX('기본 맵 및 CM3'!$K$5:$K$8,'요약'!$B$5)*A51/4096)</x:f>
        <x:v>714</x:v>
      </x:c>
      <x:c r="D51" s="102" t="n">
        <x:f>IF(AND('요약'!$B$13=1,A51=0),0,C51)</x:f>
        <x:v>714</x:v>
      </x:c>
      <x:c r="E51" s="102" t="n">
        <x:f>IF(A51=0,0,C51)</x:f>
        <x:v>714</x:v>
      </x:c>
      <x:c r="F51" s="102" t="n">
        <x:f>C51-C50</x:f>
        <x:v>5</x:v>
      </x:c>
      <x:c r="G51" s="103" t="n">
        <x:f>D51*INDEX('기본 맵 및 CM3'!$D$5:$D$8,'요약'!$B$5)</x:f>
        <x:v>35700</x:v>
      </x:c>
    </x:row>
    <x:row r="52">
      <x:c r="A52" s="131" t="n">
        <x:v>47</x:v>
      </x:c>
      <x:c r="B52" s="55" t="n">
        <x:f>A52*4</x:f>
        <x:v>188</x:v>
      </x:c>
      <x:c r="C52" s="102" t="n">
        <x:f>INDEX('기본 맵 및 CM3'!$Q$5:$Q$8,'요약'!$B$5)+INT(INDEX('기본 맵 및 CM3'!$K$5:$K$8,'요약'!$B$5)*A52/4096)</x:f>
        <x:v>718</x:v>
      </x:c>
      <x:c r="D52" s="102" t="n">
        <x:f>IF(AND('요약'!$B$13=1,A52=0),0,C52)</x:f>
        <x:v>718</x:v>
      </x:c>
      <x:c r="E52" s="102" t="n">
        <x:f>IF(A52=0,0,C52)</x:f>
        <x:v>718</x:v>
      </x:c>
      <x:c r="F52" s="102" t="n">
        <x:f>C52-C51</x:f>
        <x:v>4</x:v>
      </x:c>
      <x:c r="G52" s="103" t="n">
        <x:f>D52*INDEX('기본 맵 및 CM3'!$D$5:$D$8,'요약'!$B$5)</x:f>
        <x:v>35900</x:v>
      </x:c>
    </x:row>
    <x:row r="53">
      <x:c r="A53" s="131" t="n">
        <x:v>48</x:v>
      </x:c>
      <x:c r="B53" s="55" t="n">
        <x:f>A53*4</x:f>
        <x:v>192</x:v>
      </x:c>
      <x:c r="C53" s="102" t="n">
        <x:f>INDEX('기본 맵 및 CM3'!$Q$5:$Q$8,'요약'!$B$5)+INT(INDEX('기본 맵 및 CM3'!$K$5:$K$8,'요약'!$B$5)*A53/4096)</x:f>
        <x:v>723</x:v>
      </x:c>
      <x:c r="D53" s="102" t="n">
        <x:f>IF(AND('요약'!$B$13=1,A53=0),0,C53)</x:f>
        <x:v>723</x:v>
      </x:c>
      <x:c r="E53" s="102" t="n">
        <x:f>IF(A53=0,0,C53)</x:f>
        <x:v>723</x:v>
      </x:c>
      <x:c r="F53" s="102" t="n">
        <x:f>C53-C52</x:f>
        <x:v>5</x:v>
      </x:c>
      <x:c r="G53" s="103" t="n">
        <x:f>D53*INDEX('기본 맵 및 CM3'!$D$5:$D$8,'요약'!$B$5)</x:f>
        <x:v>36150</x:v>
      </x:c>
    </x:row>
    <x:row r="54">
      <x:c r="A54" s="131" t="n">
        <x:v>49</x:v>
      </x:c>
      <x:c r="B54" s="55" t="n">
        <x:f>A54*4</x:f>
        <x:v>196</x:v>
      </x:c>
      <x:c r="C54" s="102" t="n">
        <x:f>INDEX('기본 맵 및 CM3'!$Q$5:$Q$8,'요약'!$B$5)+INT(INDEX('기본 맵 및 CM3'!$K$5:$K$8,'요약'!$B$5)*A54/4096)</x:f>
        <x:v>728</x:v>
      </x:c>
      <x:c r="D54" s="102" t="n">
        <x:f>IF(AND('요약'!$B$13=1,A54=0),0,C54)</x:f>
        <x:v>728</x:v>
      </x:c>
      <x:c r="E54" s="102" t="n">
        <x:f>IF(A54=0,0,C54)</x:f>
        <x:v>728</x:v>
      </x:c>
      <x:c r="F54" s="102" t="n">
        <x:f>C54-C53</x:f>
        <x:v>5</x:v>
      </x:c>
      <x:c r="G54" s="103" t="n">
        <x:f>D54*INDEX('기본 맵 및 CM3'!$D$5:$D$8,'요약'!$B$5)</x:f>
        <x:v>36400</x:v>
      </x:c>
    </x:row>
    <x:row r="55">
      <x:c r="A55" s="131" t="n">
        <x:v>50</x:v>
      </x:c>
      <x:c r="B55" s="55" t="n">
        <x:f>A55*4</x:f>
        <x:v>200</x:v>
      </x:c>
      <x:c r="C55" s="102" t="n">
        <x:f>INDEX('기본 맵 및 CM3'!$Q$5:$Q$8,'요약'!$B$5)+INT(INDEX('기본 맵 및 CM3'!$K$5:$K$8,'요약'!$B$5)*A55/4096)</x:f>
        <x:v>732</x:v>
      </x:c>
      <x:c r="D55" s="102" t="n">
        <x:f>IF(AND('요약'!$B$13=1,A55=0),0,C55)</x:f>
        <x:v>732</x:v>
      </x:c>
      <x:c r="E55" s="102" t="n">
        <x:f>IF(A55=0,0,C55)</x:f>
        <x:v>732</x:v>
      </x:c>
      <x:c r="F55" s="102" t="n">
        <x:f>C55-C54</x:f>
        <x:v>4</x:v>
      </x:c>
      <x:c r="G55" s="103" t="n">
        <x:f>D55*INDEX('기본 맵 및 CM3'!$D$5:$D$8,'요약'!$B$5)</x:f>
        <x:v>36600</x:v>
      </x:c>
    </x:row>
    <x:row r="56">
      <x:c r="A56" s="131" t="n">
        <x:v>51</x:v>
      </x:c>
      <x:c r="B56" s="55" t="n">
        <x:f>A56*4</x:f>
        <x:v>204</x:v>
      </x:c>
      <x:c r="C56" s="102" t="n">
        <x:f>INDEX('기본 맵 및 CM3'!$Q$5:$Q$8,'요약'!$B$5)+INT(INDEX('기본 맵 및 CM3'!$K$5:$K$8,'요약'!$B$5)*A56/4096)</x:f>
        <x:v>737</x:v>
      </x:c>
      <x:c r="D56" s="102" t="n">
        <x:f>IF(AND('요약'!$B$13=1,A56=0),0,C56)</x:f>
        <x:v>737</x:v>
      </x:c>
      <x:c r="E56" s="102" t="n">
        <x:f>IF(A56=0,0,C56)</x:f>
        <x:v>737</x:v>
      </x:c>
      <x:c r="F56" s="102" t="n">
        <x:f>C56-C55</x:f>
        <x:v>5</x:v>
      </x:c>
      <x:c r="G56" s="103" t="n">
        <x:f>D56*INDEX('기본 맵 및 CM3'!$D$5:$D$8,'요약'!$B$5)</x:f>
        <x:v>36850</x:v>
      </x:c>
    </x:row>
    <x:row r="57">
      <x:c r="A57" s="131" t="n">
        <x:v>52</x:v>
      </x:c>
      <x:c r="B57" s="55" t="n">
        <x:f>A57*4</x:f>
        <x:v>208</x:v>
      </x:c>
      <x:c r="C57" s="102" t="n">
        <x:f>INDEX('기본 맵 및 CM3'!$Q$5:$Q$8,'요약'!$B$5)+INT(INDEX('기본 맵 및 CM3'!$K$5:$K$8,'요약'!$B$5)*A57/4096)</x:f>
        <x:v>742</x:v>
      </x:c>
      <x:c r="D57" s="102" t="n">
        <x:f>IF(AND('요약'!$B$13=1,A57=0),0,C57)</x:f>
        <x:v>742</x:v>
      </x:c>
      <x:c r="E57" s="102" t="n">
        <x:f>IF(A57=0,0,C57)</x:f>
        <x:v>742</x:v>
      </x:c>
      <x:c r="F57" s="102" t="n">
        <x:f>C57-C56</x:f>
        <x:v>5</x:v>
      </x:c>
      <x:c r="G57" s="103" t="n">
        <x:f>D57*INDEX('기본 맵 및 CM3'!$D$5:$D$8,'요약'!$B$5)</x:f>
        <x:v>37100</x:v>
      </x:c>
    </x:row>
    <x:row r="58">
      <x:c r="A58" s="131" t="n">
        <x:v>53</x:v>
      </x:c>
      <x:c r="B58" s="55" t="n">
        <x:f>A58*4</x:f>
        <x:v>212</x:v>
      </x:c>
      <x:c r="C58" s="102" t="n">
        <x:f>INDEX('기본 맵 및 CM3'!$Q$5:$Q$8,'요약'!$B$5)+INT(INDEX('기본 맵 및 CM3'!$K$5:$K$8,'요약'!$B$5)*A58/4096)</x:f>
        <x:v>747</x:v>
      </x:c>
      <x:c r="D58" s="102" t="n">
        <x:f>IF(AND('요약'!$B$13=1,A58=0),0,C58)</x:f>
        <x:v>747</x:v>
      </x:c>
      <x:c r="E58" s="102" t="n">
        <x:f>IF(A58=0,0,C58)</x:f>
        <x:v>747</x:v>
      </x:c>
      <x:c r="F58" s="102" t="n">
        <x:f>C58-C57</x:f>
        <x:v>5</x:v>
      </x:c>
      <x:c r="G58" s="103" t="n">
        <x:f>D58*INDEX('기본 맵 및 CM3'!$D$5:$D$8,'요약'!$B$5)</x:f>
        <x:v>37350</x:v>
      </x:c>
    </x:row>
    <x:row r="59">
      <x:c r="A59" s="131" t="n">
        <x:v>54</x:v>
      </x:c>
      <x:c r="B59" s="55" t="n">
        <x:f>A59*4</x:f>
        <x:v>216</x:v>
      </x:c>
      <x:c r="C59" s="102" t="n">
        <x:f>INDEX('기본 맵 및 CM3'!$Q$5:$Q$8,'요약'!$B$5)+INT(INDEX('기본 맵 및 CM3'!$K$5:$K$8,'요약'!$B$5)*A59/4096)</x:f>
        <x:v>751</x:v>
      </x:c>
      <x:c r="D59" s="102" t="n">
        <x:f>IF(AND('요약'!$B$13=1,A59=0),0,C59)</x:f>
        <x:v>751</x:v>
      </x:c>
      <x:c r="E59" s="102" t="n">
        <x:f>IF(A59=0,0,C59)</x:f>
        <x:v>751</x:v>
      </x:c>
      <x:c r="F59" s="102" t="n">
        <x:f>C59-C58</x:f>
        <x:v>4</x:v>
      </x:c>
      <x:c r="G59" s="103" t="n">
        <x:f>D59*INDEX('기본 맵 및 CM3'!$D$5:$D$8,'요약'!$B$5)</x:f>
        <x:v>37550</x:v>
      </x:c>
    </x:row>
    <x:row r="60">
      <x:c r="A60" s="131" t="n">
        <x:v>55</x:v>
      </x:c>
      <x:c r="B60" s="55" t="n">
        <x:f>A60*4</x:f>
        <x:v>220</x:v>
      </x:c>
      <x:c r="C60" s="102" t="n">
        <x:f>INDEX('기본 맵 및 CM3'!$Q$5:$Q$8,'요약'!$B$5)+INT(INDEX('기본 맵 및 CM3'!$K$5:$K$8,'요약'!$B$5)*A60/4096)</x:f>
        <x:v>756</x:v>
      </x:c>
      <x:c r="D60" s="102" t="n">
        <x:f>IF(AND('요약'!$B$13=1,A60=0),0,C60)</x:f>
        <x:v>756</x:v>
      </x:c>
      <x:c r="E60" s="102" t="n">
        <x:f>IF(A60=0,0,C60)</x:f>
        <x:v>756</x:v>
      </x:c>
      <x:c r="F60" s="102" t="n">
        <x:f>C60-C59</x:f>
        <x:v>5</x:v>
      </x:c>
      <x:c r="G60" s="103" t="n">
        <x:f>D60*INDEX('기본 맵 및 CM3'!$D$5:$D$8,'요약'!$B$5)</x:f>
        <x:v>37800</x:v>
      </x:c>
    </x:row>
    <x:row r="61">
      <x:c r="A61" s="131" t="n">
        <x:v>56</x:v>
      </x:c>
      <x:c r="B61" s="55" t="n">
        <x:f>A61*4</x:f>
        <x:v>224</x:v>
      </x:c>
      <x:c r="C61" s="102" t="n">
        <x:f>INDEX('기본 맵 및 CM3'!$Q$5:$Q$8,'요약'!$B$5)+INT(INDEX('기본 맵 및 CM3'!$K$5:$K$8,'요약'!$B$5)*A61/4096)</x:f>
        <x:v>761</x:v>
      </x:c>
      <x:c r="D61" s="102" t="n">
        <x:f>IF(AND('요약'!$B$13=1,A61=0),0,C61)</x:f>
        <x:v>761</x:v>
      </x:c>
      <x:c r="E61" s="102" t="n">
        <x:f>IF(A61=0,0,C61)</x:f>
        <x:v>761</x:v>
      </x:c>
      <x:c r="F61" s="102" t="n">
        <x:f>C61-C60</x:f>
        <x:v>5</x:v>
      </x:c>
      <x:c r="G61" s="103" t="n">
        <x:f>D61*INDEX('기본 맵 및 CM3'!$D$5:$D$8,'요약'!$B$5)</x:f>
        <x:v>38050</x:v>
      </x:c>
    </x:row>
    <x:row r="62">
      <x:c r="A62" s="131" t="n">
        <x:v>57</x:v>
      </x:c>
      <x:c r="B62" s="55" t="n">
        <x:f>A62*4</x:f>
        <x:v>228</x:v>
      </x:c>
      <x:c r="C62" s="102" t="n">
        <x:f>INDEX('기본 맵 및 CM3'!$Q$5:$Q$8,'요약'!$B$5)+INT(INDEX('기본 맵 및 CM3'!$K$5:$K$8,'요약'!$B$5)*A62/4096)</x:f>
        <x:v>766</x:v>
      </x:c>
      <x:c r="D62" s="102" t="n">
        <x:f>IF(AND('요약'!$B$13=1,A62=0),0,C62)</x:f>
        <x:v>766</x:v>
      </x:c>
      <x:c r="E62" s="102" t="n">
        <x:f>IF(A62=0,0,C62)</x:f>
        <x:v>766</x:v>
      </x:c>
      <x:c r="F62" s="102" t="n">
        <x:f>C62-C61</x:f>
        <x:v>5</x:v>
      </x:c>
      <x:c r="G62" s="103" t="n">
        <x:f>D62*INDEX('기본 맵 및 CM3'!$D$5:$D$8,'요약'!$B$5)</x:f>
        <x:v>38300</x:v>
      </x:c>
    </x:row>
    <x:row r="63">
      <x:c r="A63" s="131" t="n">
        <x:v>58</x:v>
      </x:c>
      <x:c r="B63" s="55" t="n">
        <x:f>A63*4</x:f>
        <x:v>232</x:v>
      </x:c>
      <x:c r="C63" s="102" t="n">
        <x:f>INDEX('기본 맵 및 CM3'!$Q$5:$Q$8,'요약'!$B$5)+INT(INDEX('기본 맵 및 CM3'!$K$5:$K$8,'요약'!$B$5)*A63/4096)</x:f>
        <x:v>770</x:v>
      </x:c>
      <x:c r="D63" s="102" t="n">
        <x:f>IF(AND('요약'!$B$13=1,A63=0),0,C63)</x:f>
        <x:v>770</x:v>
      </x:c>
      <x:c r="E63" s="102" t="n">
        <x:f>IF(A63=0,0,C63)</x:f>
        <x:v>770</x:v>
      </x:c>
      <x:c r="F63" s="102" t="n">
        <x:f>C63-C62</x:f>
        <x:v>4</x:v>
      </x:c>
      <x:c r="G63" s="103" t="n">
        <x:f>D63*INDEX('기본 맵 및 CM3'!$D$5:$D$8,'요약'!$B$5)</x:f>
        <x:v>38500</x:v>
      </x:c>
    </x:row>
    <x:row r="64">
      <x:c r="A64" s="131" t="n">
        <x:v>59</x:v>
      </x:c>
      <x:c r="B64" s="55" t="n">
        <x:f>A64*4</x:f>
        <x:v>236</x:v>
      </x:c>
      <x:c r="C64" s="102" t="n">
        <x:f>INDEX('기본 맵 및 CM3'!$Q$5:$Q$8,'요약'!$B$5)+INT(INDEX('기본 맵 및 CM3'!$K$5:$K$8,'요약'!$B$5)*A64/4096)</x:f>
        <x:v>775</x:v>
      </x:c>
      <x:c r="D64" s="102" t="n">
        <x:f>IF(AND('요약'!$B$13=1,A64=0),0,C64)</x:f>
        <x:v>775</x:v>
      </x:c>
      <x:c r="E64" s="102" t="n">
        <x:f>IF(A64=0,0,C64)</x:f>
        <x:v>775</x:v>
      </x:c>
      <x:c r="F64" s="102" t="n">
        <x:f>C64-C63</x:f>
        <x:v>5</x:v>
      </x:c>
      <x:c r="G64" s="103" t="n">
        <x:f>D64*INDEX('기본 맵 및 CM3'!$D$5:$D$8,'요약'!$B$5)</x:f>
        <x:v>38750</x:v>
      </x:c>
    </x:row>
    <x:row r="65">
      <x:c r="A65" s="131" t="n">
        <x:v>60</x:v>
      </x:c>
      <x:c r="B65" s="55" t="n">
        <x:f>A65*4</x:f>
        <x:v>240</x:v>
      </x:c>
      <x:c r="C65" s="102" t="n">
        <x:f>INDEX('기본 맵 및 CM3'!$Q$5:$Q$8,'요약'!$B$5)+INT(INDEX('기본 맵 및 CM3'!$K$5:$K$8,'요약'!$B$5)*A65/4096)</x:f>
        <x:v>780</x:v>
      </x:c>
      <x:c r="D65" s="102" t="n">
        <x:f>IF(AND('요약'!$B$13=1,A65=0),0,C65)</x:f>
        <x:v>780</x:v>
      </x:c>
      <x:c r="E65" s="102" t="n">
        <x:f>IF(A65=0,0,C65)</x:f>
        <x:v>780</x:v>
      </x:c>
      <x:c r="F65" s="102" t="n">
        <x:f>C65-C64</x:f>
        <x:v>5</x:v>
      </x:c>
      <x:c r="G65" s="103" t="n">
        <x:f>D65*INDEX('기본 맵 및 CM3'!$D$5:$D$8,'요약'!$B$5)</x:f>
        <x:v>39000</x:v>
      </x:c>
    </x:row>
    <x:row r="66">
      <x:c r="A66" s="131" t="n">
        <x:v>61</x:v>
      </x:c>
      <x:c r="B66" s="55" t="n">
        <x:f>A66*4</x:f>
        <x:v>244</x:v>
      </x:c>
      <x:c r="C66" s="102" t="n">
        <x:f>INDEX('기본 맵 및 CM3'!$Q$5:$Q$8,'요약'!$B$5)+INT(INDEX('기본 맵 및 CM3'!$K$5:$K$8,'요약'!$B$5)*A66/4096)</x:f>
        <x:v>784</x:v>
      </x:c>
      <x:c r="D66" s="102" t="n">
        <x:f>IF(AND('요약'!$B$13=1,A66=0),0,C66)</x:f>
        <x:v>784</x:v>
      </x:c>
      <x:c r="E66" s="102" t="n">
        <x:f>IF(A66=0,0,C66)</x:f>
        <x:v>784</x:v>
      </x:c>
      <x:c r="F66" s="102" t="n">
        <x:f>C66-C65</x:f>
        <x:v>4</x:v>
      </x:c>
      <x:c r="G66" s="103" t="n">
        <x:f>D66*INDEX('기본 맵 및 CM3'!$D$5:$D$8,'요약'!$B$5)</x:f>
        <x:v>39200</x:v>
      </x:c>
    </x:row>
    <x:row r="67">
      <x:c r="A67" s="131" t="n">
        <x:v>62</x:v>
      </x:c>
      <x:c r="B67" s="55" t="n">
        <x:f>A67*4</x:f>
        <x:v>248</x:v>
      </x:c>
      <x:c r="C67" s="102" t="n">
        <x:f>INDEX('기본 맵 및 CM3'!$Q$5:$Q$8,'요약'!$B$5)+INT(INDEX('기본 맵 및 CM3'!$K$5:$K$8,'요약'!$B$5)*A67/4096)</x:f>
        <x:v>789</x:v>
      </x:c>
      <x:c r="D67" s="102" t="n">
        <x:f>IF(AND('요약'!$B$13=1,A67=0),0,C67)</x:f>
        <x:v>789</x:v>
      </x:c>
      <x:c r="E67" s="102" t="n">
        <x:f>IF(A67=0,0,C67)</x:f>
        <x:v>789</x:v>
      </x:c>
      <x:c r="F67" s="102" t="n">
        <x:f>C67-C66</x:f>
        <x:v>5</x:v>
      </x:c>
      <x:c r="G67" s="103" t="n">
        <x:f>D67*INDEX('기본 맵 및 CM3'!$D$5:$D$8,'요약'!$B$5)</x:f>
        <x:v>39450</x:v>
      </x:c>
    </x:row>
    <x:row r="68">
      <x:c r="A68" s="131" t="n">
        <x:v>63</x:v>
      </x:c>
      <x:c r="B68" s="55" t="n">
        <x:f>A68*4</x:f>
        <x:v>252</x:v>
      </x:c>
      <x:c r="C68" s="102" t="n">
        <x:f>INDEX('기본 맵 및 CM3'!$Q$5:$Q$8,'요약'!$B$5)+INT(INDEX('기본 맵 및 CM3'!$K$5:$K$8,'요약'!$B$5)*A68/4096)</x:f>
        <x:v>794</x:v>
      </x:c>
      <x:c r="D68" s="102" t="n">
        <x:f>IF(AND('요약'!$B$13=1,A68=0),0,C68)</x:f>
        <x:v>794</x:v>
      </x:c>
      <x:c r="E68" s="102" t="n">
        <x:f>IF(A68=0,0,C68)</x:f>
        <x:v>794</x:v>
      </x:c>
      <x:c r="F68" s="102" t="n">
        <x:f>C68-C67</x:f>
        <x:v>5</x:v>
      </x:c>
      <x:c r="G68" s="103" t="n">
        <x:f>D68*INDEX('기본 맵 및 CM3'!$D$5:$D$8,'요약'!$B$5)</x:f>
        <x:v>39700</x:v>
      </x:c>
    </x:row>
    <x:row r="69">
      <x:c r="A69" s="131" t="n">
        <x:v>64</x:v>
      </x:c>
      <x:c r="B69" s="55" t="n">
        <x:f>A69*4</x:f>
        <x:v>256</x:v>
      </x:c>
      <x:c r="C69" s="102" t="n">
        <x:f>INDEX('기본 맵 및 CM3'!$Q$5:$Q$8,'요약'!$B$5)+INT(INDEX('기본 맵 및 CM3'!$K$5:$K$8,'요약'!$B$5)*A69/4096)</x:f>
        <x:v>799</x:v>
      </x:c>
      <x:c r="D69" s="102" t="n">
        <x:f>IF(AND('요약'!$B$13=1,A69=0),0,C69)</x:f>
        <x:v>799</x:v>
      </x:c>
      <x:c r="E69" s="102" t="n">
        <x:f>IF(A69=0,0,C69)</x:f>
        <x:v>799</x:v>
      </x:c>
      <x:c r="F69" s="102" t="n">
        <x:f>C69-C68</x:f>
        <x:v>5</x:v>
      </x:c>
      <x:c r="G69" s="103" t="n">
        <x:f>D69*INDEX('기본 맵 및 CM3'!$D$5:$D$8,'요약'!$B$5)</x:f>
        <x:v>39950</x:v>
      </x:c>
    </x:row>
    <x:row r="70">
      <x:c r="A70" s="131" t="n">
        <x:v>65</x:v>
      </x:c>
      <x:c r="B70" s="55" t="n">
        <x:f>A70*4</x:f>
        <x:v>260</x:v>
      </x:c>
      <x:c r="C70" s="102" t="n">
        <x:f>INDEX('기본 맵 및 CM3'!$Q$5:$Q$8,'요약'!$B$5)+INT(INDEX('기본 맵 및 CM3'!$K$5:$K$8,'요약'!$B$5)*A70/4096)</x:f>
        <x:v>803</x:v>
      </x:c>
      <x:c r="D70" s="102" t="n">
        <x:f>IF(AND('요약'!$B$13=1,A70=0),0,C70)</x:f>
        <x:v>803</x:v>
      </x:c>
      <x:c r="E70" s="102" t="n">
        <x:f>IF(A70=0,0,C70)</x:f>
        <x:v>803</x:v>
      </x:c>
      <x:c r="F70" s="102" t="n">
        <x:f>C70-C69</x:f>
        <x:v>4</x:v>
      </x:c>
      <x:c r="G70" s="103" t="n">
        <x:f>D70*INDEX('기본 맵 및 CM3'!$D$5:$D$8,'요약'!$B$5)</x:f>
        <x:v>40150</x:v>
      </x:c>
    </x:row>
    <x:row r="71">
      <x:c r="A71" s="131" t="n">
        <x:v>66</x:v>
      </x:c>
      <x:c r="B71" s="55" t="n">
        <x:f>A71*4</x:f>
        <x:v>264</x:v>
      </x:c>
      <x:c r="C71" s="102" t="n">
        <x:f>INDEX('기본 맵 및 CM3'!$Q$5:$Q$8,'요약'!$B$5)+INT(INDEX('기본 맵 및 CM3'!$K$5:$K$8,'요약'!$B$5)*A71/4096)</x:f>
        <x:v>808</x:v>
      </x:c>
      <x:c r="D71" s="102" t="n">
        <x:f>IF(AND('요약'!$B$13=1,A71=0),0,C71)</x:f>
        <x:v>808</x:v>
      </x:c>
      <x:c r="E71" s="102" t="n">
        <x:f>IF(A71=0,0,C71)</x:f>
        <x:v>808</x:v>
      </x:c>
      <x:c r="F71" s="102" t="n">
        <x:f>C71-C70</x:f>
        <x:v>5</x:v>
      </x:c>
      <x:c r="G71" s="103" t="n">
        <x:f>D71*INDEX('기본 맵 및 CM3'!$D$5:$D$8,'요약'!$B$5)</x:f>
        <x:v>40400</x:v>
      </x:c>
    </x:row>
    <x:row r="72">
      <x:c r="A72" s="131" t="n">
        <x:v>67</x:v>
      </x:c>
      <x:c r="B72" s="55" t="n">
        <x:f>A72*4</x:f>
        <x:v>268</x:v>
      </x:c>
      <x:c r="C72" s="102" t="n">
        <x:f>INDEX('기본 맵 및 CM3'!$Q$5:$Q$8,'요약'!$B$5)+INT(INDEX('기본 맵 및 CM3'!$K$5:$K$8,'요약'!$B$5)*A72/4096)</x:f>
        <x:v>813</x:v>
      </x:c>
      <x:c r="D72" s="102" t="n">
        <x:f>IF(AND('요약'!$B$13=1,A72=0),0,C72)</x:f>
        <x:v>813</x:v>
      </x:c>
      <x:c r="E72" s="102" t="n">
        <x:f>IF(A72=0,0,C72)</x:f>
        <x:v>813</x:v>
      </x:c>
      <x:c r="F72" s="102" t="n">
        <x:f>C72-C71</x:f>
        <x:v>5</x:v>
      </x:c>
      <x:c r="G72" s="103" t="n">
        <x:f>D72*INDEX('기본 맵 및 CM3'!$D$5:$D$8,'요약'!$B$5)</x:f>
        <x:v>40650</x:v>
      </x:c>
    </x:row>
    <x:row r="73">
      <x:c r="A73" s="131" t="n">
        <x:v>68</x:v>
      </x:c>
      <x:c r="B73" s="55" t="n">
        <x:f>A73*4</x:f>
        <x:v>272</x:v>
      </x:c>
      <x:c r="C73" s="102" t="n">
        <x:f>INDEX('기본 맵 및 CM3'!$Q$5:$Q$8,'요약'!$B$5)+INT(INDEX('기본 맵 및 CM3'!$K$5:$K$8,'요약'!$B$5)*A73/4096)</x:f>
        <x:v>817</x:v>
      </x:c>
      <x:c r="D73" s="102" t="n">
        <x:f>IF(AND('요약'!$B$13=1,A73=0),0,C73)</x:f>
        <x:v>817</x:v>
      </x:c>
      <x:c r="E73" s="102" t="n">
        <x:f>IF(A73=0,0,C73)</x:f>
        <x:v>817</x:v>
      </x:c>
      <x:c r="F73" s="102" t="n">
        <x:f>C73-C72</x:f>
        <x:v>4</x:v>
      </x:c>
      <x:c r="G73" s="103" t="n">
        <x:f>D73*INDEX('기본 맵 및 CM3'!$D$5:$D$8,'요약'!$B$5)</x:f>
        <x:v>40850</x:v>
      </x:c>
    </x:row>
    <x:row r="74">
      <x:c r="A74" s="131" t="n">
        <x:v>69</x:v>
      </x:c>
      <x:c r="B74" s="55" t="n">
        <x:f>A74*4</x:f>
        <x:v>276</x:v>
      </x:c>
      <x:c r="C74" s="102" t="n">
        <x:f>INDEX('기본 맵 및 CM3'!$Q$5:$Q$8,'요약'!$B$5)+INT(INDEX('기본 맵 및 CM3'!$K$5:$K$8,'요약'!$B$5)*A74/4096)</x:f>
        <x:v>822</x:v>
      </x:c>
      <x:c r="D74" s="102" t="n">
        <x:f>IF(AND('요약'!$B$13=1,A74=0),0,C74)</x:f>
        <x:v>822</x:v>
      </x:c>
      <x:c r="E74" s="102" t="n">
        <x:f>IF(A74=0,0,C74)</x:f>
        <x:v>822</x:v>
      </x:c>
      <x:c r="F74" s="102" t="n">
        <x:f>C74-C73</x:f>
        <x:v>5</x:v>
      </x:c>
      <x:c r="G74" s="103" t="n">
        <x:f>D74*INDEX('기본 맵 및 CM3'!$D$5:$D$8,'요약'!$B$5)</x:f>
        <x:v>41100</x:v>
      </x:c>
    </x:row>
    <x:row r="75">
      <x:c r="A75" s="131" t="n">
        <x:v>70</x:v>
      </x:c>
      <x:c r="B75" s="55" t="n">
        <x:f>A75*4</x:f>
        <x:v>280</x:v>
      </x:c>
      <x:c r="C75" s="102" t="n">
        <x:f>INDEX('기본 맵 및 CM3'!$Q$5:$Q$8,'요약'!$B$5)+INT(INDEX('기본 맵 및 CM3'!$K$5:$K$8,'요약'!$B$5)*A75/4096)</x:f>
        <x:v>827</x:v>
      </x:c>
      <x:c r="D75" s="102" t="n">
        <x:f>IF(AND('요약'!$B$13=1,A75=0),0,C75)</x:f>
        <x:v>827</x:v>
      </x:c>
      <x:c r="E75" s="102" t="n">
        <x:f>IF(A75=0,0,C75)</x:f>
        <x:v>827</x:v>
      </x:c>
      <x:c r="F75" s="102" t="n">
        <x:f>C75-C74</x:f>
        <x:v>5</x:v>
      </x:c>
      <x:c r="G75" s="103" t="n">
        <x:f>D75*INDEX('기본 맵 및 CM3'!$D$5:$D$8,'요약'!$B$5)</x:f>
        <x:v>41350</x:v>
      </x:c>
    </x:row>
    <x:row r="76">
      <x:c r="A76" s="131" t="n">
        <x:v>71</x:v>
      </x:c>
      <x:c r="B76" s="55" t="n">
        <x:f>A76*4</x:f>
        <x:v>284</x:v>
      </x:c>
      <x:c r="C76" s="102" t="n">
        <x:f>INDEX('기본 맵 및 CM3'!$Q$5:$Q$8,'요약'!$B$5)+INT(INDEX('기본 맵 및 CM3'!$K$5:$K$8,'요약'!$B$5)*A76/4096)</x:f>
        <x:v>832</x:v>
      </x:c>
      <x:c r="D76" s="102" t="n">
        <x:f>IF(AND('요약'!$B$13=1,A76=0),0,C76)</x:f>
        <x:v>832</x:v>
      </x:c>
      <x:c r="E76" s="102" t="n">
        <x:f>IF(A76=0,0,C76)</x:f>
        <x:v>832</x:v>
      </x:c>
      <x:c r="F76" s="102" t="n">
        <x:f>C76-C75</x:f>
        <x:v>5</x:v>
      </x:c>
      <x:c r="G76" s="103" t="n">
        <x:f>D76*INDEX('기본 맵 및 CM3'!$D$5:$D$8,'요약'!$B$5)</x:f>
        <x:v>41600</x:v>
      </x:c>
    </x:row>
    <x:row r="77">
      <x:c r="A77" s="131" t="n">
        <x:v>72</x:v>
      </x:c>
      <x:c r="B77" s="55" t="n">
        <x:f>A77*4</x:f>
        <x:v>288</x:v>
      </x:c>
      <x:c r="C77" s="102" t="n">
        <x:f>INDEX('기본 맵 및 CM3'!$Q$5:$Q$8,'요약'!$B$5)+INT(INDEX('기본 맵 및 CM3'!$K$5:$K$8,'요약'!$B$5)*A77/4096)</x:f>
        <x:v>836</x:v>
      </x:c>
      <x:c r="D77" s="102" t="n">
        <x:f>IF(AND('요약'!$B$13=1,A77=0),0,C77)</x:f>
        <x:v>836</x:v>
      </x:c>
      <x:c r="E77" s="102" t="n">
        <x:f>IF(A77=0,0,C77)</x:f>
        <x:v>836</x:v>
      </x:c>
      <x:c r="F77" s="102" t="n">
        <x:f>C77-C76</x:f>
        <x:v>4</x:v>
      </x:c>
      <x:c r="G77" s="103" t="n">
        <x:f>D77*INDEX('기본 맵 및 CM3'!$D$5:$D$8,'요약'!$B$5)</x:f>
        <x:v>41800</x:v>
      </x:c>
    </x:row>
    <x:row r="78">
      <x:c r="A78" s="131" t="n">
        <x:v>73</x:v>
      </x:c>
      <x:c r="B78" s="55" t="n">
        <x:f>A78*4</x:f>
        <x:v>292</x:v>
      </x:c>
      <x:c r="C78" s="102" t="n">
        <x:f>INDEX('기본 맵 및 CM3'!$Q$5:$Q$8,'요약'!$B$5)+INT(INDEX('기본 맵 및 CM3'!$K$5:$K$8,'요약'!$B$5)*A78/4096)</x:f>
        <x:v>841</x:v>
      </x:c>
      <x:c r="D78" s="102" t="n">
        <x:f>IF(AND('요약'!$B$13=1,A78=0),0,C78)</x:f>
        <x:v>841</x:v>
      </x:c>
      <x:c r="E78" s="102" t="n">
        <x:f>IF(A78=0,0,C78)</x:f>
        <x:v>841</x:v>
      </x:c>
      <x:c r="F78" s="102" t="n">
        <x:f>C78-C77</x:f>
        <x:v>5</x:v>
      </x:c>
      <x:c r="G78" s="103" t="n">
        <x:f>D78*INDEX('기본 맵 및 CM3'!$D$5:$D$8,'요약'!$B$5)</x:f>
        <x:v>42050</x:v>
      </x:c>
    </x:row>
    <x:row r="79">
      <x:c r="A79" s="131" t="n">
        <x:v>74</x:v>
      </x:c>
      <x:c r="B79" s="55" t="n">
        <x:f>A79*4</x:f>
        <x:v>296</x:v>
      </x:c>
      <x:c r="C79" s="102" t="n">
        <x:f>INDEX('기본 맵 및 CM3'!$Q$5:$Q$8,'요약'!$B$5)+INT(INDEX('기본 맵 및 CM3'!$K$5:$K$8,'요약'!$B$5)*A79/4096)</x:f>
        <x:v>846</x:v>
      </x:c>
      <x:c r="D79" s="102" t="n">
        <x:f>IF(AND('요약'!$B$13=1,A79=0),0,C79)</x:f>
        <x:v>846</x:v>
      </x:c>
      <x:c r="E79" s="102" t="n">
        <x:f>IF(A79=0,0,C79)</x:f>
        <x:v>846</x:v>
      </x:c>
      <x:c r="F79" s="102" t="n">
        <x:f>C79-C78</x:f>
        <x:v>5</x:v>
      </x:c>
      <x:c r="G79" s="103" t="n">
        <x:f>D79*INDEX('기본 맵 및 CM3'!$D$5:$D$8,'요약'!$B$5)</x:f>
        <x:v>42300</x:v>
      </x:c>
    </x:row>
    <x:row r="80">
      <x:c r="A80" s="131" t="n">
        <x:v>75</x:v>
      </x:c>
      <x:c r="B80" s="55" t="n">
        <x:f>A80*4</x:f>
        <x:v>300</x:v>
      </x:c>
      <x:c r="C80" s="102" t="n">
        <x:f>INDEX('기본 맵 및 CM3'!$Q$5:$Q$8,'요약'!$B$5)+INT(INDEX('기본 맵 및 CM3'!$K$5:$K$8,'요약'!$B$5)*A80/4096)</x:f>
        <x:v>850</x:v>
      </x:c>
      <x:c r="D80" s="102" t="n">
        <x:f>IF(AND('요약'!$B$13=1,A80=0),0,C80)</x:f>
        <x:v>850</x:v>
      </x:c>
      <x:c r="E80" s="102" t="n">
        <x:f>IF(A80=0,0,C80)</x:f>
        <x:v>850</x:v>
      </x:c>
      <x:c r="F80" s="102" t="n">
        <x:f>C80-C79</x:f>
        <x:v>4</x:v>
      </x:c>
      <x:c r="G80" s="103" t="n">
        <x:f>D80*INDEX('기본 맵 및 CM3'!$D$5:$D$8,'요약'!$B$5)</x:f>
        <x:v>42500</x:v>
      </x:c>
    </x:row>
    <x:row r="81">
      <x:c r="A81" s="131" t="n">
        <x:v>76</x:v>
      </x:c>
      <x:c r="B81" s="55" t="n">
        <x:f>A81*4</x:f>
        <x:v>304</x:v>
      </x:c>
      <x:c r="C81" s="102" t="n">
        <x:f>INDEX('기본 맵 및 CM3'!$Q$5:$Q$8,'요약'!$B$5)+INT(INDEX('기본 맵 및 CM3'!$K$5:$K$8,'요약'!$B$5)*A81/4096)</x:f>
        <x:v>855</x:v>
      </x:c>
      <x:c r="D81" s="102" t="n">
        <x:f>IF(AND('요약'!$B$13=1,A81=0),0,C81)</x:f>
        <x:v>855</x:v>
      </x:c>
      <x:c r="E81" s="102" t="n">
        <x:f>IF(A81=0,0,C81)</x:f>
        <x:v>855</x:v>
      </x:c>
      <x:c r="F81" s="102" t="n">
        <x:f>C81-C80</x:f>
        <x:v>5</x:v>
      </x:c>
      <x:c r="G81" s="103" t="n">
        <x:f>D81*INDEX('기본 맵 및 CM3'!$D$5:$D$8,'요약'!$B$5)</x:f>
        <x:v>42750</x:v>
      </x:c>
    </x:row>
    <x:row r="82">
      <x:c r="A82" s="131" t="n">
        <x:v>77</x:v>
      </x:c>
      <x:c r="B82" s="55" t="n">
        <x:f>A82*4</x:f>
        <x:v>308</x:v>
      </x:c>
      <x:c r="C82" s="102" t="n">
        <x:f>INDEX('기본 맵 및 CM3'!$Q$5:$Q$8,'요약'!$B$5)+INT(INDEX('기본 맵 및 CM3'!$K$5:$K$8,'요약'!$B$5)*A82/4096)</x:f>
        <x:v>860</x:v>
      </x:c>
      <x:c r="D82" s="102" t="n">
        <x:f>IF(AND('요약'!$B$13=1,A82=0),0,C82)</x:f>
        <x:v>860</x:v>
      </x:c>
      <x:c r="E82" s="102" t="n">
        <x:f>IF(A82=0,0,C82)</x:f>
        <x:v>860</x:v>
      </x:c>
      <x:c r="F82" s="102" t="n">
        <x:f>C82-C81</x:f>
        <x:v>5</x:v>
      </x:c>
      <x:c r="G82" s="103" t="n">
        <x:f>D82*INDEX('기본 맵 및 CM3'!$D$5:$D$8,'요약'!$B$5)</x:f>
        <x:v>43000</x:v>
      </x:c>
    </x:row>
    <x:row r="83">
      <x:c r="A83" s="131" t="n">
        <x:v>78</x:v>
      </x:c>
      <x:c r="B83" s="55" t="n">
        <x:f>A83*4</x:f>
        <x:v>312</x:v>
      </x:c>
      <x:c r="C83" s="102" t="n">
        <x:f>INDEX('기본 맵 및 CM3'!$Q$5:$Q$8,'요약'!$B$5)+INT(INDEX('기본 맵 및 CM3'!$K$5:$K$8,'요약'!$B$5)*A83/4096)</x:f>
        <x:v>865</x:v>
      </x:c>
      <x:c r="D83" s="102" t="n">
        <x:f>IF(AND('요약'!$B$13=1,A83=0),0,C83)</x:f>
        <x:v>865</x:v>
      </x:c>
      <x:c r="E83" s="102" t="n">
        <x:f>IF(A83=0,0,C83)</x:f>
        <x:v>865</x:v>
      </x:c>
      <x:c r="F83" s="102" t="n">
        <x:f>C83-C82</x:f>
        <x:v>5</x:v>
      </x:c>
      <x:c r="G83" s="103" t="n">
        <x:f>D83*INDEX('기본 맵 및 CM3'!$D$5:$D$8,'요약'!$B$5)</x:f>
        <x:v>43250</x:v>
      </x:c>
    </x:row>
    <x:row r="84">
      <x:c r="A84" s="131" t="n">
        <x:v>79</x:v>
      </x:c>
      <x:c r="B84" s="55" t="n">
        <x:f>A84*4</x:f>
        <x:v>316</x:v>
      </x:c>
      <x:c r="C84" s="102" t="n">
        <x:f>INDEX('기본 맵 및 CM3'!$Q$5:$Q$8,'요약'!$B$5)+INT(INDEX('기본 맵 및 CM3'!$K$5:$K$8,'요약'!$B$5)*A84/4096)</x:f>
        <x:v>869</x:v>
      </x:c>
      <x:c r="D84" s="102" t="n">
        <x:f>IF(AND('요약'!$B$13=1,A84=0),0,C84)</x:f>
        <x:v>869</x:v>
      </x:c>
      <x:c r="E84" s="102" t="n">
        <x:f>IF(A84=0,0,C84)</x:f>
        <x:v>869</x:v>
      </x:c>
      <x:c r="F84" s="102" t="n">
        <x:f>C84-C83</x:f>
        <x:v>4</x:v>
      </x:c>
      <x:c r="G84" s="103" t="n">
        <x:f>D84*INDEX('기본 맵 및 CM3'!$D$5:$D$8,'요약'!$B$5)</x:f>
        <x:v>43450</x:v>
      </x:c>
    </x:row>
    <x:row r="85">
      <x:c r="A85" s="131" t="n">
        <x:v>80</x:v>
      </x:c>
      <x:c r="B85" s="55" t="n">
        <x:f>A85*4</x:f>
        <x:v>320</x:v>
      </x:c>
      <x:c r="C85" s="102" t="n">
        <x:f>INDEX('기본 맵 및 CM3'!$Q$5:$Q$8,'요약'!$B$5)+INT(INDEX('기본 맵 및 CM3'!$K$5:$K$8,'요약'!$B$5)*A85/4096)</x:f>
        <x:v>874</x:v>
      </x:c>
      <x:c r="D85" s="102" t="n">
        <x:f>IF(AND('요약'!$B$13=1,A85=0),0,C85)</x:f>
        <x:v>874</x:v>
      </x:c>
      <x:c r="E85" s="102" t="n">
        <x:f>IF(A85=0,0,C85)</x:f>
        <x:v>874</x:v>
      </x:c>
      <x:c r="F85" s="102" t="n">
        <x:f>C85-C84</x:f>
        <x:v>5</x:v>
      </x:c>
      <x:c r="G85" s="103" t="n">
        <x:f>D85*INDEX('기본 맵 및 CM3'!$D$5:$D$8,'요약'!$B$5)</x:f>
        <x:v>43700</x:v>
      </x:c>
    </x:row>
    <x:row r="86">
      <x:c r="A86" s="131" t="n">
        <x:v>81</x:v>
      </x:c>
      <x:c r="B86" s="55" t="n">
        <x:f>A86*4</x:f>
        <x:v>324</x:v>
      </x:c>
      <x:c r="C86" s="102" t="n">
        <x:f>INDEX('기본 맵 및 CM3'!$Q$5:$Q$8,'요약'!$B$5)+INT(INDEX('기본 맵 및 CM3'!$K$5:$K$8,'요약'!$B$5)*A86/4096)</x:f>
        <x:v>879</x:v>
      </x:c>
      <x:c r="D86" s="102" t="n">
        <x:f>IF(AND('요약'!$B$13=1,A86=0),0,C86)</x:f>
        <x:v>879</x:v>
      </x:c>
      <x:c r="E86" s="102" t="n">
        <x:f>IF(A86=0,0,C86)</x:f>
        <x:v>879</x:v>
      </x:c>
      <x:c r="F86" s="102" t="n">
        <x:f>C86-C85</x:f>
        <x:v>5</x:v>
      </x:c>
      <x:c r="G86" s="103" t="n">
        <x:f>D86*INDEX('기본 맵 및 CM3'!$D$5:$D$8,'요약'!$B$5)</x:f>
        <x:v>43950</x:v>
      </x:c>
    </x:row>
    <x:row r="87">
      <x:c r="A87" s="131" t="n">
        <x:v>82</x:v>
      </x:c>
      <x:c r="B87" s="55" t="n">
        <x:f>A87*4</x:f>
        <x:v>328</x:v>
      </x:c>
      <x:c r="C87" s="102" t="n">
        <x:f>INDEX('기본 맵 및 CM3'!$Q$5:$Q$8,'요약'!$B$5)+INT(INDEX('기본 맵 및 CM3'!$K$5:$K$8,'요약'!$B$5)*A87/4096)</x:f>
        <x:v>884</x:v>
      </x:c>
      <x:c r="D87" s="102" t="n">
        <x:f>IF(AND('요약'!$B$13=1,A87=0),0,C87)</x:f>
        <x:v>884</x:v>
      </x:c>
      <x:c r="E87" s="102" t="n">
        <x:f>IF(A87=0,0,C87)</x:f>
        <x:v>884</x:v>
      </x:c>
      <x:c r="F87" s="102" t="n">
        <x:f>C87-C86</x:f>
        <x:v>5</x:v>
      </x:c>
      <x:c r="G87" s="103" t="n">
        <x:f>D87*INDEX('기본 맵 및 CM3'!$D$5:$D$8,'요약'!$B$5)</x:f>
        <x:v>44200</x:v>
      </x:c>
    </x:row>
    <x:row r="88">
      <x:c r="A88" s="131" t="n">
        <x:v>83</x:v>
      </x:c>
      <x:c r="B88" s="55" t="n">
        <x:f>A88*4</x:f>
        <x:v>332</x:v>
      </x:c>
      <x:c r="C88" s="102" t="n">
        <x:f>INDEX('기본 맵 및 CM3'!$Q$5:$Q$8,'요약'!$B$5)+INT(INDEX('기본 맵 및 CM3'!$K$5:$K$8,'요약'!$B$5)*A88/4096)</x:f>
        <x:v>888</x:v>
      </x:c>
      <x:c r="D88" s="102" t="n">
        <x:f>IF(AND('요약'!$B$13=1,A88=0),0,C88)</x:f>
        <x:v>888</x:v>
      </x:c>
      <x:c r="E88" s="102" t="n">
        <x:f>IF(A88=0,0,C88)</x:f>
        <x:v>888</x:v>
      </x:c>
      <x:c r="F88" s="102" t="n">
        <x:f>C88-C87</x:f>
        <x:v>4</x:v>
      </x:c>
      <x:c r="G88" s="103" t="n">
        <x:f>D88*INDEX('기본 맵 및 CM3'!$D$5:$D$8,'요약'!$B$5)</x:f>
        <x:v>44400</x:v>
      </x:c>
    </x:row>
    <x:row r="89">
      <x:c r="A89" s="131" t="n">
        <x:v>84</x:v>
      </x:c>
      <x:c r="B89" s="55" t="n">
        <x:f>A89*4</x:f>
        <x:v>336</x:v>
      </x:c>
      <x:c r="C89" s="102" t="n">
        <x:f>INDEX('기본 맵 및 CM3'!$Q$5:$Q$8,'요약'!$B$5)+INT(INDEX('기본 맵 및 CM3'!$K$5:$K$8,'요약'!$B$5)*A89/4096)</x:f>
        <x:v>893</x:v>
      </x:c>
      <x:c r="D89" s="102" t="n">
        <x:f>IF(AND('요약'!$B$13=1,A89=0),0,C89)</x:f>
        <x:v>893</x:v>
      </x:c>
      <x:c r="E89" s="102" t="n">
        <x:f>IF(A89=0,0,C89)</x:f>
        <x:v>893</x:v>
      </x:c>
      <x:c r="F89" s="102" t="n">
        <x:f>C89-C88</x:f>
        <x:v>5</x:v>
      </x:c>
      <x:c r="G89" s="103" t="n">
        <x:f>D89*INDEX('기본 맵 및 CM3'!$D$5:$D$8,'요약'!$B$5)</x:f>
        <x:v>44650</x:v>
      </x:c>
    </x:row>
    <x:row r="90">
      <x:c r="A90" s="131" t="n">
        <x:v>85</x:v>
      </x:c>
      <x:c r="B90" s="55" t="n">
        <x:f>A90*4</x:f>
        <x:v>340</x:v>
      </x:c>
      <x:c r="C90" s="102" t="n">
        <x:f>INDEX('기본 맵 및 CM3'!$Q$5:$Q$8,'요약'!$B$5)+INT(INDEX('기본 맵 및 CM3'!$K$5:$K$8,'요약'!$B$5)*A90/4096)</x:f>
        <x:v>898</x:v>
      </x:c>
      <x:c r="D90" s="102" t="n">
        <x:f>IF(AND('요약'!$B$13=1,A90=0),0,C90)</x:f>
        <x:v>898</x:v>
      </x:c>
      <x:c r="E90" s="102" t="n">
        <x:f>IF(A90=0,0,C90)</x:f>
        <x:v>898</x:v>
      </x:c>
      <x:c r="F90" s="102" t="n">
        <x:f>C90-C89</x:f>
        <x:v>5</x:v>
      </x:c>
      <x:c r="G90" s="103" t="n">
        <x:f>D90*INDEX('기본 맵 및 CM3'!$D$5:$D$8,'요약'!$B$5)</x:f>
        <x:v>44900</x:v>
      </x:c>
    </x:row>
    <x:row r="91">
      <x:c r="A91" s="131" t="n">
        <x:v>86</x:v>
      </x:c>
      <x:c r="B91" s="55" t="n">
        <x:f>A91*4</x:f>
        <x:v>344</x:v>
      </x:c>
      <x:c r="C91" s="102" t="n">
        <x:f>INDEX('기본 맵 및 CM3'!$Q$5:$Q$8,'요약'!$B$5)+INT(INDEX('기본 맵 및 CM3'!$K$5:$K$8,'요약'!$B$5)*A91/4096)</x:f>
        <x:v>902</x:v>
      </x:c>
      <x:c r="D91" s="102" t="n">
        <x:f>IF(AND('요약'!$B$13=1,A91=0),0,C91)</x:f>
        <x:v>902</x:v>
      </x:c>
      <x:c r="E91" s="102" t="n">
        <x:f>IF(A91=0,0,C91)</x:f>
        <x:v>902</x:v>
      </x:c>
      <x:c r="F91" s="102" t="n">
        <x:f>C91-C90</x:f>
        <x:v>4</x:v>
      </x:c>
      <x:c r="G91" s="103" t="n">
        <x:f>D91*INDEX('기본 맵 및 CM3'!$D$5:$D$8,'요약'!$B$5)</x:f>
        <x:v>45100</x:v>
      </x:c>
    </x:row>
    <x:row r="92">
      <x:c r="A92" s="131" t="n">
        <x:v>87</x:v>
      </x:c>
      <x:c r="B92" s="55" t="n">
        <x:f>A92*4</x:f>
        <x:v>348</x:v>
      </x:c>
      <x:c r="C92" s="102" t="n">
        <x:f>INDEX('기본 맵 및 CM3'!$Q$5:$Q$8,'요약'!$B$5)+INT(INDEX('기본 맵 및 CM3'!$K$5:$K$8,'요약'!$B$5)*A92/4096)</x:f>
        <x:v>907</x:v>
      </x:c>
      <x:c r="D92" s="102" t="n">
        <x:f>IF(AND('요약'!$B$13=1,A92=0),0,C92)</x:f>
        <x:v>907</x:v>
      </x:c>
      <x:c r="E92" s="102" t="n">
        <x:f>IF(A92=0,0,C92)</x:f>
        <x:v>907</x:v>
      </x:c>
      <x:c r="F92" s="102" t="n">
        <x:f>C92-C91</x:f>
        <x:v>5</x:v>
      </x:c>
      <x:c r="G92" s="103" t="n">
        <x:f>D92*INDEX('기본 맵 및 CM3'!$D$5:$D$8,'요약'!$B$5)</x:f>
        <x:v>45350</x:v>
      </x:c>
    </x:row>
    <x:row r="93">
      <x:c r="A93" s="131" t="n">
        <x:v>88</x:v>
      </x:c>
      <x:c r="B93" s="55" t="n">
        <x:f>A93*4</x:f>
        <x:v>352</x:v>
      </x:c>
      <x:c r="C93" s="102" t="n">
        <x:f>INDEX('기본 맵 및 CM3'!$Q$5:$Q$8,'요약'!$B$5)+INT(INDEX('기본 맵 및 CM3'!$K$5:$K$8,'요약'!$B$5)*A93/4096)</x:f>
        <x:v>912</x:v>
      </x:c>
      <x:c r="D93" s="102" t="n">
        <x:f>IF(AND('요약'!$B$13=1,A93=0),0,C93)</x:f>
        <x:v>912</x:v>
      </x:c>
      <x:c r="E93" s="102" t="n">
        <x:f>IF(A93=0,0,C93)</x:f>
        <x:v>912</x:v>
      </x:c>
      <x:c r="F93" s="102" t="n">
        <x:f>C93-C92</x:f>
        <x:v>5</x:v>
      </x:c>
      <x:c r="G93" s="103" t="n">
        <x:f>D93*INDEX('기본 맵 및 CM3'!$D$5:$D$8,'요약'!$B$5)</x:f>
        <x:v>45600</x:v>
      </x:c>
    </x:row>
    <x:row r="94">
      <x:c r="A94" s="131" t="n">
        <x:v>89</x:v>
      </x:c>
      <x:c r="B94" s="55" t="n">
        <x:f>A94*4</x:f>
        <x:v>356</x:v>
      </x:c>
      <x:c r="C94" s="102" t="n">
        <x:f>INDEX('기본 맵 및 CM3'!$Q$5:$Q$8,'요약'!$B$5)+INT(INDEX('기본 맵 및 CM3'!$K$5:$K$8,'요약'!$B$5)*A94/4096)</x:f>
        <x:v>917</x:v>
      </x:c>
      <x:c r="D94" s="102" t="n">
        <x:f>IF(AND('요약'!$B$13=1,A94=0),0,C94)</x:f>
        <x:v>917</x:v>
      </x:c>
      <x:c r="E94" s="102" t="n">
        <x:f>IF(A94=0,0,C94)</x:f>
        <x:v>917</x:v>
      </x:c>
      <x:c r="F94" s="102" t="n">
        <x:f>C94-C93</x:f>
        <x:v>5</x:v>
      </x:c>
      <x:c r="G94" s="103" t="n">
        <x:f>D94*INDEX('기본 맵 및 CM3'!$D$5:$D$8,'요약'!$B$5)</x:f>
        <x:v>45850</x:v>
      </x:c>
    </x:row>
    <x:row r="95">
      <x:c r="A95" s="131" t="n">
        <x:v>90</x:v>
      </x:c>
      <x:c r="B95" s="55" t="n">
        <x:f>A95*4</x:f>
        <x:v>360</x:v>
      </x:c>
      <x:c r="C95" s="102" t="n">
        <x:f>INDEX('기본 맵 및 CM3'!$Q$5:$Q$8,'요약'!$B$5)+INT(INDEX('기본 맵 및 CM3'!$K$5:$K$8,'요약'!$B$5)*A95/4096)</x:f>
        <x:v>921</x:v>
      </x:c>
      <x:c r="D95" s="102" t="n">
        <x:f>IF(AND('요약'!$B$13=1,A95=0),0,C95)</x:f>
        <x:v>921</x:v>
      </x:c>
      <x:c r="E95" s="102" t="n">
        <x:f>IF(A95=0,0,C95)</x:f>
        <x:v>921</x:v>
      </x:c>
      <x:c r="F95" s="102" t="n">
        <x:f>C95-C94</x:f>
        <x:v>4</x:v>
      </x:c>
      <x:c r="G95" s="103" t="n">
        <x:f>D95*INDEX('기본 맵 및 CM3'!$D$5:$D$8,'요약'!$B$5)</x:f>
        <x:v>46050</x:v>
      </x:c>
    </x:row>
    <x:row r="96">
      <x:c r="A96" s="131" t="n">
        <x:v>91</x:v>
      </x:c>
      <x:c r="B96" s="55" t="n">
        <x:f>A96*4</x:f>
        <x:v>364</x:v>
      </x:c>
      <x:c r="C96" s="102" t="n">
        <x:f>INDEX('기본 맵 및 CM3'!$Q$5:$Q$8,'요약'!$B$5)+INT(INDEX('기본 맵 및 CM3'!$K$5:$K$8,'요약'!$B$5)*A96/4096)</x:f>
        <x:v>926</x:v>
      </x:c>
      <x:c r="D96" s="102" t="n">
        <x:f>IF(AND('요약'!$B$13=1,A96=0),0,C96)</x:f>
        <x:v>926</x:v>
      </x:c>
      <x:c r="E96" s="102" t="n">
        <x:f>IF(A96=0,0,C96)</x:f>
        <x:v>926</x:v>
      </x:c>
      <x:c r="F96" s="102" t="n">
        <x:f>C96-C95</x:f>
        <x:v>5</x:v>
      </x:c>
      <x:c r="G96" s="103" t="n">
        <x:f>D96*INDEX('기본 맵 및 CM3'!$D$5:$D$8,'요약'!$B$5)</x:f>
        <x:v>46300</x:v>
      </x:c>
    </x:row>
    <x:row r="97">
      <x:c r="A97" s="131" t="n">
        <x:v>92</x:v>
      </x:c>
      <x:c r="B97" s="55" t="n">
        <x:f>A97*4</x:f>
        <x:v>368</x:v>
      </x:c>
      <x:c r="C97" s="102" t="n">
        <x:f>INDEX('기본 맵 및 CM3'!$Q$5:$Q$8,'요약'!$B$5)+INT(INDEX('기본 맵 및 CM3'!$K$5:$K$8,'요약'!$B$5)*A97/4096)</x:f>
        <x:v>931</x:v>
      </x:c>
      <x:c r="D97" s="102" t="n">
        <x:f>IF(AND('요약'!$B$13=1,A97=0),0,C97)</x:f>
        <x:v>931</x:v>
      </x:c>
      <x:c r="E97" s="102" t="n">
        <x:f>IF(A97=0,0,C97)</x:f>
        <x:v>931</x:v>
      </x:c>
      <x:c r="F97" s="102" t="n">
        <x:f>C97-C96</x:f>
        <x:v>5</x:v>
      </x:c>
      <x:c r="G97" s="103" t="n">
        <x:f>D97*INDEX('기본 맵 및 CM3'!$D$5:$D$8,'요약'!$B$5)</x:f>
        <x:v>46550</x:v>
      </x:c>
    </x:row>
    <x:row r="98">
      <x:c r="A98" s="131" t="n">
        <x:v>93</x:v>
      </x:c>
      <x:c r="B98" s="55" t="n">
        <x:f>A98*4</x:f>
        <x:v>372</x:v>
      </x:c>
      <x:c r="C98" s="102" t="n">
        <x:f>INDEX('기본 맵 및 CM3'!$Q$5:$Q$8,'요약'!$B$5)+INT(INDEX('기본 맵 및 CM3'!$K$5:$K$8,'요약'!$B$5)*A98/4096)</x:f>
        <x:v>935</x:v>
      </x:c>
      <x:c r="D98" s="102" t="n">
        <x:f>IF(AND('요약'!$B$13=1,A98=0),0,C98)</x:f>
        <x:v>935</x:v>
      </x:c>
      <x:c r="E98" s="102" t="n">
        <x:f>IF(A98=0,0,C98)</x:f>
        <x:v>935</x:v>
      </x:c>
      <x:c r="F98" s="102" t="n">
        <x:f>C98-C97</x:f>
        <x:v>4</x:v>
      </x:c>
      <x:c r="G98" s="103" t="n">
        <x:f>D98*INDEX('기본 맵 및 CM3'!$D$5:$D$8,'요약'!$B$5)</x:f>
        <x:v>46750</x:v>
      </x:c>
    </x:row>
    <x:row r="99">
      <x:c r="A99" s="131" t="n">
        <x:v>94</x:v>
      </x:c>
      <x:c r="B99" s="55" t="n">
        <x:f>A99*4</x:f>
        <x:v>376</x:v>
      </x:c>
      <x:c r="C99" s="102" t="n">
        <x:f>INDEX('기본 맵 및 CM3'!$Q$5:$Q$8,'요약'!$B$5)+INT(INDEX('기본 맵 및 CM3'!$K$5:$K$8,'요약'!$B$5)*A99/4096)</x:f>
        <x:v>940</x:v>
      </x:c>
      <x:c r="D99" s="102" t="n">
        <x:f>IF(AND('요약'!$B$13=1,A99=0),0,C99)</x:f>
        <x:v>940</x:v>
      </x:c>
      <x:c r="E99" s="102" t="n">
        <x:f>IF(A99=0,0,C99)</x:f>
        <x:v>940</x:v>
      </x:c>
      <x:c r="F99" s="102" t="n">
        <x:f>C99-C98</x:f>
        <x:v>5</x:v>
      </x:c>
      <x:c r="G99" s="103" t="n">
        <x:f>D99*INDEX('기본 맵 및 CM3'!$D$5:$D$8,'요약'!$B$5)</x:f>
        <x:v>47000</x:v>
      </x:c>
    </x:row>
    <x:row r="100">
      <x:c r="A100" s="131" t="n">
        <x:v>95</x:v>
      </x:c>
      <x:c r="B100" s="55" t="n">
        <x:f>A100*4</x:f>
        <x:v>380</x:v>
      </x:c>
      <x:c r="C100" s="102" t="n">
        <x:f>INDEX('기본 맵 및 CM3'!$Q$5:$Q$8,'요약'!$B$5)+INT(INDEX('기본 맵 및 CM3'!$K$5:$K$8,'요약'!$B$5)*A100/4096)</x:f>
        <x:v>945</x:v>
      </x:c>
      <x:c r="D100" s="102" t="n">
        <x:f>IF(AND('요약'!$B$13=1,A100=0),0,C100)</x:f>
        <x:v>945</x:v>
      </x:c>
      <x:c r="E100" s="102" t="n">
        <x:f>IF(A100=0,0,C100)</x:f>
        <x:v>945</x:v>
      </x:c>
      <x:c r="F100" s="102" t="n">
        <x:f>C100-C99</x:f>
        <x:v>5</x:v>
      </x:c>
      <x:c r="G100" s="103" t="n">
        <x:f>D100*INDEX('기본 맵 및 CM3'!$D$5:$D$8,'요약'!$B$5)</x:f>
        <x:v>47250</x:v>
      </x:c>
    </x:row>
    <x:row r="101">
      <x:c r="A101" s="131" t="n">
        <x:v>96</x:v>
      </x:c>
      <x:c r="B101" s="55" t="n">
        <x:f>A101*4</x:f>
        <x:v>384</x:v>
      </x:c>
      <x:c r="C101" s="102" t="n">
        <x:f>INDEX('기본 맵 및 CM3'!$Q$5:$Q$8,'요약'!$B$5)+INT(INDEX('기본 맵 및 CM3'!$K$5:$K$8,'요약'!$B$5)*A101/4096)</x:f>
        <x:v>950</x:v>
      </x:c>
      <x:c r="D101" s="102" t="n">
        <x:f>IF(AND('요약'!$B$13=1,A101=0),0,C101)</x:f>
        <x:v>950</x:v>
      </x:c>
      <x:c r="E101" s="102" t="n">
        <x:f>IF(A101=0,0,C101)</x:f>
        <x:v>950</x:v>
      </x:c>
      <x:c r="F101" s="102" t="n">
        <x:f>C101-C100</x:f>
        <x:v>5</x:v>
      </x:c>
      <x:c r="G101" s="103" t="n">
        <x:f>D101*INDEX('기본 맵 및 CM3'!$D$5:$D$8,'요약'!$B$5)</x:f>
        <x:v>47500</x:v>
      </x:c>
    </x:row>
    <x:row r="102">
      <x:c r="A102" s="131" t="n">
        <x:v>97</x:v>
      </x:c>
      <x:c r="B102" s="55" t="n">
        <x:f>A102*4</x:f>
        <x:v>388</x:v>
      </x:c>
      <x:c r="C102" s="102" t="n">
        <x:f>INDEX('기본 맵 및 CM3'!$Q$5:$Q$8,'요약'!$B$5)+INT(INDEX('기본 맵 및 CM3'!$K$5:$K$8,'요약'!$B$5)*A102/4096)</x:f>
        <x:v>954</x:v>
      </x:c>
      <x:c r="D102" s="102" t="n">
        <x:f>IF(AND('요약'!$B$13=1,A102=0),0,C102)</x:f>
        <x:v>954</x:v>
      </x:c>
      <x:c r="E102" s="102" t="n">
        <x:f>IF(A102=0,0,C102)</x:f>
        <x:v>954</x:v>
      </x:c>
      <x:c r="F102" s="102" t="n">
        <x:f>C102-C101</x:f>
        <x:v>4</x:v>
      </x:c>
      <x:c r="G102" s="103" t="n">
        <x:f>D102*INDEX('기본 맵 및 CM3'!$D$5:$D$8,'요약'!$B$5)</x:f>
        <x:v>47700</x:v>
      </x:c>
    </x:row>
    <x:row r="103">
      <x:c r="A103" s="131" t="n">
        <x:v>98</x:v>
      </x:c>
      <x:c r="B103" s="55" t="n">
        <x:f>A103*4</x:f>
        <x:v>392</x:v>
      </x:c>
      <x:c r="C103" s="102" t="n">
        <x:f>INDEX('기본 맵 및 CM3'!$Q$5:$Q$8,'요약'!$B$5)+INT(INDEX('기본 맵 및 CM3'!$K$5:$K$8,'요약'!$B$5)*A103/4096)</x:f>
        <x:v>959</x:v>
      </x:c>
      <x:c r="D103" s="102" t="n">
        <x:f>IF(AND('요약'!$B$13=1,A103=0),0,C103)</x:f>
        <x:v>959</x:v>
      </x:c>
      <x:c r="E103" s="102" t="n">
        <x:f>IF(A103=0,0,C103)</x:f>
        <x:v>959</x:v>
      </x:c>
      <x:c r="F103" s="102" t="n">
        <x:f>C103-C102</x:f>
        <x:v>5</x:v>
      </x:c>
      <x:c r="G103" s="103" t="n">
        <x:f>D103*INDEX('기본 맵 및 CM3'!$D$5:$D$8,'요약'!$B$5)</x:f>
        <x:v>47950</x:v>
      </x:c>
    </x:row>
    <x:row r="104">
      <x:c r="A104" s="131" t="n">
        <x:v>99</x:v>
      </x:c>
      <x:c r="B104" s="55" t="n">
        <x:f>A104*4</x:f>
        <x:v>396</x:v>
      </x:c>
      <x:c r="C104" s="102" t="n">
        <x:f>INDEX('기본 맵 및 CM3'!$Q$5:$Q$8,'요약'!$B$5)+INT(INDEX('기본 맵 및 CM3'!$K$5:$K$8,'요약'!$B$5)*A104/4096)</x:f>
        <x:v>964</x:v>
      </x:c>
      <x:c r="D104" s="102" t="n">
        <x:f>IF(AND('요약'!$B$13=1,A104=0),0,C104)</x:f>
        <x:v>964</x:v>
      </x:c>
      <x:c r="E104" s="102" t="n">
        <x:f>IF(A104=0,0,C104)</x:f>
        <x:v>964</x:v>
      </x:c>
      <x:c r="F104" s="102" t="n">
        <x:f>C104-C103</x:f>
        <x:v>5</x:v>
      </x:c>
      <x:c r="G104" s="103" t="n">
        <x:f>D104*INDEX('기본 맵 및 CM3'!$D$5:$D$8,'요약'!$B$5)</x:f>
        <x:v>48200</x:v>
      </x:c>
    </x:row>
    <x:row r="105">
      <x:c r="A105" s="131" t="n">
        <x:v>100</x:v>
      </x:c>
      <x:c r="B105" s="55" t="n">
        <x:f>A105*4</x:f>
        <x:v>400</x:v>
      </x:c>
      <x:c r="C105" s="102" t="n">
        <x:f>INDEX('기본 맵 및 CM3'!$Q$5:$Q$8,'요약'!$B$5)+INT(INDEX('기본 맵 및 CM3'!$K$5:$K$8,'요약'!$B$5)*A105/4096)</x:f>
        <x:v>968</x:v>
      </x:c>
      <x:c r="D105" s="102" t="n">
        <x:f>IF(AND('요약'!$B$13=1,A105=0),0,C105)</x:f>
        <x:v>968</x:v>
      </x:c>
      <x:c r="E105" s="102" t="n">
        <x:f>IF(A105=0,0,C105)</x:f>
        <x:v>968</x:v>
      </x:c>
      <x:c r="F105" s="102" t="n">
        <x:f>C105-C104</x:f>
        <x:v>4</x:v>
      </x:c>
      <x:c r="G105" s="103" t="n">
        <x:f>D105*INDEX('기본 맵 및 CM3'!$D$5:$D$8,'요약'!$B$5)</x:f>
        <x:v>48400</x:v>
      </x:c>
    </x:row>
    <x:row r="106">
      <x:c r="A106" s="131" t="n">
        <x:v>101</x:v>
      </x:c>
      <x:c r="B106" s="55" t="n">
        <x:f>A106*4</x:f>
        <x:v>404</x:v>
      </x:c>
      <x:c r="C106" s="102" t="n">
        <x:f>INDEX('기본 맵 및 CM3'!$Q$5:$Q$8,'요약'!$B$5)+INT(INDEX('기본 맵 및 CM3'!$K$5:$K$8,'요약'!$B$5)*A106/4096)</x:f>
        <x:v>973</x:v>
      </x:c>
      <x:c r="D106" s="102" t="n">
        <x:f>IF(AND('요약'!$B$13=1,A106=0),0,C106)</x:f>
        <x:v>973</x:v>
      </x:c>
      <x:c r="E106" s="102" t="n">
        <x:f>IF(A106=0,0,C106)</x:f>
        <x:v>973</x:v>
      </x:c>
      <x:c r="F106" s="102" t="n">
        <x:f>C106-C105</x:f>
        <x:v>5</x:v>
      </x:c>
      <x:c r="G106" s="103" t="n">
        <x:f>D106*INDEX('기본 맵 및 CM3'!$D$5:$D$8,'요약'!$B$5)</x:f>
        <x:v>48650</x:v>
      </x:c>
    </x:row>
    <x:row r="107">
      <x:c r="A107" s="131" t="n">
        <x:v>102</x:v>
      </x:c>
      <x:c r="B107" s="55" t="n">
        <x:f>A107*4</x:f>
        <x:v>408</x:v>
      </x:c>
      <x:c r="C107" s="102" t="n">
        <x:f>INDEX('기본 맵 및 CM3'!$Q$5:$Q$8,'요약'!$B$5)+INT(INDEX('기본 맵 및 CM3'!$K$5:$K$8,'요약'!$B$5)*A107/4096)</x:f>
        <x:v>978</x:v>
      </x:c>
      <x:c r="D107" s="102" t="n">
        <x:f>IF(AND('요약'!$B$13=1,A107=0),0,C107)</x:f>
        <x:v>978</x:v>
      </x:c>
      <x:c r="E107" s="102" t="n">
        <x:f>IF(A107=0,0,C107)</x:f>
        <x:v>978</x:v>
      </x:c>
      <x:c r="F107" s="102" t="n">
        <x:f>C107-C106</x:f>
        <x:v>5</x:v>
      </x:c>
      <x:c r="G107" s="103" t="n">
        <x:f>D107*INDEX('기본 맵 및 CM3'!$D$5:$D$8,'요약'!$B$5)</x:f>
        <x:v>48900</x:v>
      </x:c>
    </x:row>
    <x:row r="108">
      <x:c r="A108" s="131" t="n">
        <x:v>103</x:v>
      </x:c>
      <x:c r="B108" s="55" t="n">
        <x:f>A108*4</x:f>
        <x:v>412</x:v>
      </x:c>
      <x:c r="C108" s="102" t="n">
        <x:f>INDEX('기본 맵 및 CM3'!$Q$5:$Q$8,'요약'!$B$5)+INT(INDEX('기본 맵 및 CM3'!$K$5:$K$8,'요약'!$B$5)*A108/4096)</x:f>
        <x:v>983</x:v>
      </x:c>
      <x:c r="D108" s="102" t="n">
        <x:f>IF(AND('요약'!$B$13=1,A108=0),0,C108)</x:f>
        <x:v>983</x:v>
      </x:c>
      <x:c r="E108" s="102" t="n">
        <x:f>IF(A108=0,0,C108)</x:f>
        <x:v>983</x:v>
      </x:c>
      <x:c r="F108" s="102" t="n">
        <x:f>C108-C107</x:f>
        <x:v>5</x:v>
      </x:c>
      <x:c r="G108" s="103" t="n">
        <x:f>D108*INDEX('기본 맵 및 CM3'!$D$5:$D$8,'요약'!$B$5)</x:f>
        <x:v>49150</x:v>
      </x:c>
    </x:row>
    <x:row r="109">
      <x:c r="A109" s="131" t="n">
        <x:v>104</x:v>
      </x:c>
      <x:c r="B109" s="55" t="n">
        <x:f>A109*4</x:f>
        <x:v>416</x:v>
      </x:c>
      <x:c r="C109" s="102" t="n">
        <x:f>INDEX('기본 맵 및 CM3'!$Q$5:$Q$8,'요약'!$B$5)+INT(INDEX('기본 맵 및 CM3'!$K$5:$K$8,'요약'!$B$5)*A109/4096)</x:f>
        <x:v>987</x:v>
      </x:c>
      <x:c r="D109" s="102" t="n">
        <x:f>IF(AND('요약'!$B$13=1,A109=0),0,C109)</x:f>
        <x:v>987</x:v>
      </x:c>
      <x:c r="E109" s="102" t="n">
        <x:f>IF(A109=0,0,C109)</x:f>
        <x:v>987</x:v>
      </x:c>
      <x:c r="F109" s="102" t="n">
        <x:f>C109-C108</x:f>
        <x:v>4</x:v>
      </x:c>
      <x:c r="G109" s="103" t="n">
        <x:f>D109*INDEX('기본 맵 및 CM3'!$D$5:$D$8,'요약'!$B$5)</x:f>
        <x:v>49350</x:v>
      </x:c>
    </x:row>
    <x:row r="110">
      <x:c r="A110" s="131" t="n">
        <x:v>105</x:v>
      </x:c>
      <x:c r="B110" s="55" t="n">
        <x:f>A110*4</x:f>
        <x:v>420</x:v>
      </x:c>
      <x:c r="C110" s="102" t="n">
        <x:f>INDEX('기본 맵 및 CM3'!$Q$5:$Q$8,'요약'!$B$5)+INT(INDEX('기본 맵 및 CM3'!$K$5:$K$8,'요약'!$B$5)*A110/4096)</x:f>
        <x:v>992</x:v>
      </x:c>
      <x:c r="D110" s="102" t="n">
        <x:f>IF(AND('요약'!$B$13=1,A110=0),0,C110)</x:f>
        <x:v>992</x:v>
      </x:c>
      <x:c r="E110" s="102" t="n">
        <x:f>IF(A110=0,0,C110)</x:f>
        <x:v>992</x:v>
      </x:c>
      <x:c r="F110" s="102" t="n">
        <x:f>C110-C109</x:f>
        <x:v>5</x:v>
      </x:c>
      <x:c r="G110" s="103" t="n">
        <x:f>D110*INDEX('기본 맵 및 CM3'!$D$5:$D$8,'요약'!$B$5)</x:f>
        <x:v>49600</x:v>
      </x:c>
    </x:row>
    <x:row r="111">
      <x:c r="A111" s="131" t="n">
        <x:v>106</x:v>
      </x:c>
      <x:c r="B111" s="55" t="n">
        <x:f>A111*4</x:f>
        <x:v>424</x:v>
      </x:c>
      <x:c r="C111" s="102" t="n">
        <x:f>INDEX('기본 맵 및 CM3'!$Q$5:$Q$8,'요약'!$B$5)+INT(INDEX('기본 맵 및 CM3'!$K$5:$K$8,'요약'!$B$5)*A111/4096)</x:f>
        <x:v>997</x:v>
      </x:c>
      <x:c r="D111" s="102" t="n">
        <x:f>IF(AND('요약'!$B$13=1,A111=0),0,C111)</x:f>
        <x:v>997</x:v>
      </x:c>
      <x:c r="E111" s="102" t="n">
        <x:f>IF(A111=0,0,C111)</x:f>
        <x:v>997</x:v>
      </x:c>
      <x:c r="F111" s="102" t="n">
        <x:f>C111-C110</x:f>
        <x:v>5</x:v>
      </x:c>
      <x:c r="G111" s="103" t="n">
        <x:f>D111*INDEX('기본 맵 및 CM3'!$D$5:$D$8,'요약'!$B$5)</x:f>
        <x:v>49850</x:v>
      </x:c>
    </x:row>
    <x:row r="112">
      <x:c r="A112" s="131" t="n">
        <x:v>107</x:v>
      </x:c>
      <x:c r="B112" s="55" t="n">
        <x:f>A112*4</x:f>
        <x:v>428</x:v>
      </x:c>
      <x:c r="C112" s="102" t="n">
        <x:f>INDEX('기본 맵 및 CM3'!$Q$5:$Q$8,'요약'!$B$5)+INT(INDEX('기본 맵 및 CM3'!$K$5:$K$8,'요약'!$B$5)*A112/4096)</x:f>
        <x:v>1002</x:v>
      </x:c>
      <x:c r="D112" s="102" t="n">
        <x:f>IF(AND('요약'!$B$13=1,A112=0),0,C112)</x:f>
        <x:v>1002</x:v>
      </x:c>
      <x:c r="E112" s="102" t="n">
        <x:f>IF(A112=0,0,C112)</x:f>
        <x:v>1002</x:v>
      </x:c>
      <x:c r="F112" s="102" t="n">
        <x:f>C112-C111</x:f>
        <x:v>5</x:v>
      </x:c>
      <x:c r="G112" s="103" t="n">
        <x:f>D112*INDEX('기본 맵 및 CM3'!$D$5:$D$8,'요약'!$B$5)</x:f>
        <x:v>50100</x:v>
      </x:c>
    </x:row>
    <x:row r="113">
      <x:c r="A113" s="131" t="n">
        <x:v>108</x:v>
      </x:c>
      <x:c r="B113" s="55" t="n">
        <x:f>A113*4</x:f>
        <x:v>432</x:v>
      </x:c>
      <x:c r="C113" s="102" t="n">
        <x:f>INDEX('기본 맵 및 CM3'!$Q$5:$Q$8,'요약'!$B$5)+INT(INDEX('기본 맵 및 CM3'!$K$5:$K$8,'요약'!$B$5)*A113/4096)</x:f>
        <x:v>1006</x:v>
      </x:c>
      <x:c r="D113" s="102" t="n">
        <x:f>IF(AND('요약'!$B$13=1,A113=0),0,C113)</x:f>
        <x:v>1006</x:v>
      </x:c>
      <x:c r="E113" s="102" t="n">
        <x:f>IF(A113=0,0,C113)</x:f>
        <x:v>1006</x:v>
      </x:c>
      <x:c r="F113" s="102" t="n">
        <x:f>C113-C112</x:f>
        <x:v>4</x:v>
      </x:c>
      <x:c r="G113" s="103" t="n">
        <x:f>D113*INDEX('기본 맵 및 CM3'!$D$5:$D$8,'요약'!$B$5)</x:f>
        <x:v>50300</x:v>
      </x:c>
    </x:row>
    <x:row r="114">
      <x:c r="A114" s="131" t="n">
        <x:v>109</x:v>
      </x:c>
      <x:c r="B114" s="55" t="n">
        <x:f>A114*4</x:f>
        <x:v>436</x:v>
      </x:c>
      <x:c r="C114" s="102" t="n">
        <x:f>INDEX('기본 맵 및 CM3'!$Q$5:$Q$8,'요약'!$B$5)+INT(INDEX('기본 맵 및 CM3'!$K$5:$K$8,'요약'!$B$5)*A114/4096)</x:f>
        <x:v>1011</x:v>
      </x:c>
      <x:c r="D114" s="102" t="n">
        <x:f>IF(AND('요약'!$B$13=1,A114=0),0,C114)</x:f>
        <x:v>1011</x:v>
      </x:c>
      <x:c r="E114" s="102" t="n">
        <x:f>IF(A114=0,0,C114)</x:f>
        <x:v>1011</x:v>
      </x:c>
      <x:c r="F114" s="102" t="n">
        <x:f>C114-C113</x:f>
        <x:v>5</x:v>
      </x:c>
      <x:c r="G114" s="103" t="n">
        <x:f>D114*INDEX('기본 맵 및 CM3'!$D$5:$D$8,'요약'!$B$5)</x:f>
        <x:v>50550</x:v>
      </x:c>
    </x:row>
    <x:row r="115">
      <x:c r="A115" s="131" t="n">
        <x:v>110</x:v>
      </x:c>
      <x:c r="B115" s="55" t="n">
        <x:f>A115*4</x:f>
        <x:v>440</x:v>
      </x:c>
      <x:c r="C115" s="102" t="n">
        <x:f>INDEX('기본 맵 및 CM3'!$Q$5:$Q$8,'요약'!$B$5)+INT(INDEX('기본 맵 및 CM3'!$K$5:$K$8,'요약'!$B$5)*A115/4096)</x:f>
        <x:v>1016</x:v>
      </x:c>
      <x:c r="D115" s="102" t="n">
        <x:f>IF(AND('요약'!$B$13=1,A115=0),0,C115)</x:f>
        <x:v>1016</x:v>
      </x:c>
      <x:c r="E115" s="102" t="n">
        <x:f>IF(A115=0,0,C115)</x:f>
        <x:v>1016</x:v>
      </x:c>
      <x:c r="F115" s="102" t="n">
        <x:f>C115-C114</x:f>
        <x:v>5</x:v>
      </x:c>
      <x:c r="G115" s="103" t="n">
        <x:f>D115*INDEX('기본 맵 및 CM3'!$D$5:$D$8,'요약'!$B$5)</x:f>
        <x:v>50800</x:v>
      </x:c>
    </x:row>
    <x:row r="116">
      <x:c r="A116" s="131" t="n">
        <x:v>111</x:v>
      </x:c>
      <x:c r="B116" s="55" t="n">
        <x:f>A116*4</x:f>
        <x:v>444</x:v>
      </x:c>
      <x:c r="C116" s="102" t="n">
        <x:f>INDEX('기본 맵 및 CM3'!$Q$5:$Q$8,'요약'!$B$5)+INT(INDEX('기본 맵 및 CM3'!$K$5:$K$8,'요약'!$B$5)*A116/4096)</x:f>
        <x:v>1020</x:v>
      </x:c>
      <x:c r="D116" s="102" t="n">
        <x:f>IF(AND('요약'!$B$13=1,A116=0),0,C116)</x:f>
        <x:v>1020</x:v>
      </x:c>
      <x:c r="E116" s="102" t="n">
        <x:f>IF(A116=0,0,C116)</x:f>
        <x:v>1020</x:v>
      </x:c>
      <x:c r="F116" s="102" t="n">
        <x:f>C116-C115</x:f>
        <x:v>4</x:v>
      </x:c>
      <x:c r="G116" s="103" t="n">
        <x:f>D116*INDEX('기본 맵 및 CM3'!$D$5:$D$8,'요약'!$B$5)</x:f>
        <x:v>51000</x:v>
      </x:c>
    </x:row>
    <x:row r="117">
      <x:c r="A117" s="131" t="n">
        <x:v>112</x:v>
      </x:c>
      <x:c r="B117" s="55" t="n">
        <x:f>A117*4</x:f>
        <x:v>448</x:v>
      </x:c>
      <x:c r="C117" s="102" t="n">
        <x:f>INDEX('기본 맵 및 CM3'!$Q$5:$Q$8,'요약'!$B$5)+INT(INDEX('기본 맵 및 CM3'!$K$5:$K$8,'요약'!$B$5)*A117/4096)</x:f>
        <x:v>1025</x:v>
      </x:c>
      <x:c r="D117" s="102" t="n">
        <x:f>IF(AND('요약'!$B$13=1,A117=0),0,C117)</x:f>
        <x:v>1025</x:v>
      </x:c>
      <x:c r="E117" s="102" t="n">
        <x:f>IF(A117=0,0,C117)</x:f>
        <x:v>1025</x:v>
      </x:c>
      <x:c r="F117" s="102" t="n">
        <x:f>C117-C116</x:f>
        <x:v>5</x:v>
      </x:c>
      <x:c r="G117" s="103" t="n">
        <x:f>D117*INDEX('기본 맵 및 CM3'!$D$5:$D$8,'요약'!$B$5)</x:f>
        <x:v>51250</x:v>
      </x:c>
    </x:row>
    <x:row r="118">
      <x:c r="A118" s="131" t="n">
        <x:v>113</x:v>
      </x:c>
      <x:c r="B118" s="55" t="n">
        <x:f>A118*4</x:f>
        <x:v>452</x:v>
      </x:c>
      <x:c r="C118" s="102" t="n">
        <x:f>INDEX('기본 맵 및 CM3'!$Q$5:$Q$8,'요약'!$B$5)+INT(INDEX('기본 맵 및 CM3'!$K$5:$K$8,'요약'!$B$5)*A118/4096)</x:f>
        <x:v>1030</x:v>
      </x:c>
      <x:c r="D118" s="102" t="n">
        <x:f>IF(AND('요약'!$B$13=1,A118=0),0,C118)</x:f>
        <x:v>1030</x:v>
      </x:c>
      <x:c r="E118" s="102" t="n">
        <x:f>IF(A118=0,0,C118)</x:f>
        <x:v>1030</x:v>
      </x:c>
      <x:c r="F118" s="102" t="n">
        <x:f>C118-C117</x:f>
        <x:v>5</x:v>
      </x:c>
      <x:c r="G118" s="103" t="n">
        <x:f>D118*INDEX('기본 맵 및 CM3'!$D$5:$D$8,'요약'!$B$5)</x:f>
        <x:v>51500</x:v>
      </x:c>
    </x:row>
    <x:row r="119">
      <x:c r="A119" s="131" t="n">
        <x:v>114</x:v>
      </x:c>
      <x:c r="B119" s="55" t="n">
        <x:f>A119*4</x:f>
        <x:v>456</x:v>
      </x:c>
      <x:c r="C119" s="102" t="n">
        <x:f>INDEX('기본 맵 및 CM3'!$Q$5:$Q$8,'요약'!$B$5)+INT(INDEX('기본 맵 및 CM3'!$K$5:$K$8,'요약'!$B$5)*A119/4096)</x:f>
        <x:v>1035</x:v>
      </x:c>
      <x:c r="D119" s="102" t="n">
        <x:f>IF(AND('요약'!$B$13=1,A119=0),0,C119)</x:f>
        <x:v>1035</x:v>
      </x:c>
      <x:c r="E119" s="102" t="n">
        <x:f>IF(A119=0,0,C119)</x:f>
        <x:v>1035</x:v>
      </x:c>
      <x:c r="F119" s="102" t="n">
        <x:f>C119-C118</x:f>
        <x:v>5</x:v>
      </x:c>
      <x:c r="G119" s="103" t="n">
        <x:f>D119*INDEX('기본 맵 및 CM3'!$D$5:$D$8,'요약'!$B$5)</x:f>
        <x:v>51750</x:v>
      </x:c>
    </x:row>
    <x:row r="120">
      <x:c r="A120" s="131" t="n">
        <x:v>115</x:v>
      </x:c>
      <x:c r="B120" s="55" t="n">
        <x:f>A120*4</x:f>
        <x:v>460</x:v>
      </x:c>
      <x:c r="C120" s="102" t="n">
        <x:f>INDEX('기본 맵 및 CM3'!$Q$5:$Q$8,'요약'!$B$5)+INT(INDEX('기본 맵 및 CM3'!$K$5:$K$8,'요약'!$B$5)*A120/4096)</x:f>
        <x:v>1039</x:v>
      </x:c>
      <x:c r="D120" s="102" t="n">
        <x:f>IF(AND('요약'!$B$13=1,A120=0),0,C120)</x:f>
        <x:v>1039</x:v>
      </x:c>
      <x:c r="E120" s="102" t="n">
        <x:f>IF(A120=0,0,C120)</x:f>
        <x:v>1039</x:v>
      </x:c>
      <x:c r="F120" s="102" t="n">
        <x:f>C120-C119</x:f>
        <x:v>4</x:v>
      </x:c>
      <x:c r="G120" s="103" t="n">
        <x:f>D120*INDEX('기본 맵 및 CM3'!$D$5:$D$8,'요약'!$B$5)</x:f>
        <x:v>51950</x:v>
      </x:c>
    </x:row>
    <x:row r="121">
      <x:c r="A121" s="131" t="n">
        <x:v>116</x:v>
      </x:c>
      <x:c r="B121" s="55" t="n">
        <x:f>A121*4</x:f>
        <x:v>464</x:v>
      </x:c>
      <x:c r="C121" s="102" t="n">
        <x:f>INDEX('기본 맵 및 CM3'!$Q$5:$Q$8,'요약'!$B$5)+INT(INDEX('기본 맵 및 CM3'!$K$5:$K$8,'요약'!$B$5)*A121/4096)</x:f>
        <x:v>1044</x:v>
      </x:c>
      <x:c r="D121" s="102" t="n">
        <x:f>IF(AND('요약'!$B$13=1,A121=0),0,C121)</x:f>
        <x:v>1044</x:v>
      </x:c>
      <x:c r="E121" s="102" t="n">
        <x:f>IF(A121=0,0,C121)</x:f>
        <x:v>1044</x:v>
      </x:c>
      <x:c r="F121" s="102" t="n">
        <x:f>C121-C120</x:f>
        <x:v>5</x:v>
      </x:c>
      <x:c r="G121" s="103" t="n">
        <x:f>D121*INDEX('기본 맵 및 CM3'!$D$5:$D$8,'요약'!$B$5)</x:f>
        <x:v>52200</x:v>
      </x:c>
    </x:row>
    <x:row r="122">
      <x:c r="A122" s="131" t="n">
        <x:v>117</x:v>
      </x:c>
      <x:c r="B122" s="55" t="n">
        <x:f>A122*4</x:f>
        <x:v>468</x:v>
      </x:c>
      <x:c r="C122" s="102" t="n">
        <x:f>INDEX('기본 맵 및 CM3'!$Q$5:$Q$8,'요약'!$B$5)+INT(INDEX('기본 맵 및 CM3'!$K$5:$K$8,'요약'!$B$5)*A122/4096)</x:f>
        <x:v>1049</x:v>
      </x:c>
      <x:c r="D122" s="102" t="n">
        <x:f>IF(AND('요약'!$B$13=1,A122=0),0,C122)</x:f>
        <x:v>1049</x:v>
      </x:c>
      <x:c r="E122" s="102" t="n">
        <x:f>IF(A122=0,0,C122)</x:f>
        <x:v>1049</x:v>
      </x:c>
      <x:c r="F122" s="102" t="n">
        <x:f>C122-C121</x:f>
        <x:v>5</x:v>
      </x:c>
      <x:c r="G122" s="103" t="n">
        <x:f>D122*INDEX('기본 맵 및 CM3'!$D$5:$D$8,'요약'!$B$5)</x:f>
        <x:v>52450</x:v>
      </x:c>
    </x:row>
    <x:row r="123">
      <x:c r="A123" s="131" t="n">
        <x:v>118</x:v>
      </x:c>
      <x:c r="B123" s="55" t="n">
        <x:f>A123*4</x:f>
        <x:v>472</x:v>
      </x:c>
      <x:c r="C123" s="102" t="n">
        <x:f>INDEX('기본 맵 및 CM3'!$Q$5:$Q$8,'요약'!$B$5)+INT(INDEX('기본 맵 및 CM3'!$K$5:$K$8,'요약'!$B$5)*A123/4096)</x:f>
        <x:v>1053</x:v>
      </x:c>
      <x:c r="D123" s="102" t="n">
        <x:f>IF(AND('요약'!$B$13=1,A123=0),0,C123)</x:f>
        <x:v>1053</x:v>
      </x:c>
      <x:c r="E123" s="102" t="n">
        <x:f>IF(A123=0,0,C123)</x:f>
        <x:v>1053</x:v>
      </x:c>
      <x:c r="F123" s="102" t="n">
        <x:f>C123-C122</x:f>
        <x:v>4</x:v>
      </x:c>
      <x:c r="G123" s="103" t="n">
        <x:f>D123*INDEX('기본 맵 및 CM3'!$D$5:$D$8,'요약'!$B$5)</x:f>
        <x:v>52650</x:v>
      </x:c>
    </x:row>
    <x:row r="124">
      <x:c r="A124" s="131" t="n">
        <x:v>119</x:v>
      </x:c>
      <x:c r="B124" s="55" t="n">
        <x:f>A124*4</x:f>
        <x:v>476</x:v>
      </x:c>
      <x:c r="C124" s="102" t="n">
        <x:f>INDEX('기본 맵 및 CM3'!$Q$5:$Q$8,'요약'!$B$5)+INT(INDEX('기본 맵 및 CM3'!$K$5:$K$8,'요약'!$B$5)*A124/4096)</x:f>
        <x:v>1058</x:v>
      </x:c>
      <x:c r="D124" s="102" t="n">
        <x:f>IF(AND('요약'!$B$13=1,A124=0),0,C124)</x:f>
        <x:v>1058</x:v>
      </x:c>
      <x:c r="E124" s="102" t="n">
        <x:f>IF(A124=0,0,C124)</x:f>
        <x:v>1058</x:v>
      </x:c>
      <x:c r="F124" s="102" t="n">
        <x:f>C124-C123</x:f>
        <x:v>5</x:v>
      </x:c>
      <x:c r="G124" s="103" t="n">
        <x:f>D124*INDEX('기본 맵 및 CM3'!$D$5:$D$8,'요약'!$B$5)</x:f>
        <x:v>52900</x:v>
      </x:c>
    </x:row>
    <x:row r="125">
      <x:c r="A125" s="131" t="n">
        <x:v>120</x:v>
      </x:c>
      <x:c r="B125" s="55" t="n">
        <x:f>A125*4</x:f>
        <x:v>480</x:v>
      </x:c>
      <x:c r="C125" s="102" t="n">
        <x:f>INDEX('기본 맵 및 CM3'!$Q$5:$Q$8,'요약'!$B$5)+INT(INDEX('기본 맵 및 CM3'!$K$5:$K$8,'요약'!$B$5)*A125/4096)</x:f>
        <x:v>1063</x:v>
      </x:c>
      <x:c r="D125" s="102" t="n">
        <x:f>IF(AND('요약'!$B$13=1,A125=0),0,C125)</x:f>
        <x:v>1063</x:v>
      </x:c>
      <x:c r="E125" s="102" t="n">
        <x:f>IF(A125=0,0,C125)</x:f>
        <x:v>1063</x:v>
      </x:c>
      <x:c r="F125" s="102" t="n">
        <x:f>C125-C124</x:f>
        <x:v>5</x:v>
      </x:c>
      <x:c r="G125" s="103" t="n">
        <x:f>D125*INDEX('기본 맵 및 CM3'!$D$5:$D$8,'요약'!$B$5)</x:f>
        <x:v>53150</x:v>
      </x:c>
    </x:row>
    <x:row r="126">
      <x:c r="A126" s="131" t="n">
        <x:v>121</x:v>
      </x:c>
      <x:c r="B126" s="55" t="n">
        <x:f>A126*4</x:f>
        <x:v>484</x:v>
      </x:c>
      <x:c r="C126" s="102" t="n">
        <x:f>INDEX('기본 맵 및 CM3'!$Q$5:$Q$8,'요약'!$B$5)+INT(INDEX('기본 맵 및 CM3'!$K$5:$K$8,'요약'!$B$5)*A126/4096)</x:f>
        <x:v>1068</x:v>
      </x:c>
      <x:c r="D126" s="102" t="n">
        <x:f>IF(AND('요약'!$B$13=1,A126=0),0,C126)</x:f>
        <x:v>1068</x:v>
      </x:c>
      <x:c r="E126" s="102" t="n">
        <x:f>IF(A126=0,0,C126)</x:f>
        <x:v>1068</x:v>
      </x:c>
      <x:c r="F126" s="102" t="n">
        <x:f>C126-C125</x:f>
        <x:v>5</x:v>
      </x:c>
      <x:c r="G126" s="103" t="n">
        <x:f>D126*INDEX('기본 맵 및 CM3'!$D$5:$D$8,'요약'!$B$5)</x:f>
        <x:v>53400</x:v>
      </x:c>
    </x:row>
    <x:row r="127">
      <x:c r="A127" s="131" t="n">
        <x:v>122</x:v>
      </x:c>
      <x:c r="B127" s="55" t="n">
        <x:f>A127*4</x:f>
        <x:v>488</x:v>
      </x:c>
      <x:c r="C127" s="102" t="n">
        <x:f>INDEX('기본 맵 및 CM3'!$Q$5:$Q$8,'요약'!$B$5)+INT(INDEX('기본 맵 및 CM3'!$K$5:$K$8,'요약'!$B$5)*A127/4096)</x:f>
        <x:v>1072</x:v>
      </x:c>
      <x:c r="D127" s="102" t="n">
        <x:f>IF(AND('요약'!$B$13=1,A127=0),0,C127)</x:f>
        <x:v>1072</x:v>
      </x:c>
      <x:c r="E127" s="102" t="n">
        <x:f>IF(A127=0,0,C127)</x:f>
        <x:v>1072</x:v>
      </x:c>
      <x:c r="F127" s="102" t="n">
        <x:f>C127-C126</x:f>
        <x:v>4</x:v>
      </x:c>
      <x:c r="G127" s="103" t="n">
        <x:f>D127*INDEX('기본 맵 및 CM3'!$D$5:$D$8,'요약'!$B$5)</x:f>
        <x:v>53600</x:v>
      </x:c>
    </x:row>
    <x:row r="128">
      <x:c r="A128" s="131" t="n">
        <x:v>123</x:v>
      </x:c>
      <x:c r="B128" s="55" t="n">
        <x:f>A128*4</x:f>
        <x:v>492</x:v>
      </x:c>
      <x:c r="C128" s="102" t="n">
        <x:f>INDEX('기본 맵 및 CM3'!$Q$5:$Q$8,'요약'!$B$5)+INT(INDEX('기본 맵 및 CM3'!$K$5:$K$8,'요약'!$B$5)*A128/4096)</x:f>
        <x:v>1077</x:v>
      </x:c>
      <x:c r="D128" s="102" t="n">
        <x:f>IF(AND('요약'!$B$13=1,A128=0),0,C128)</x:f>
        <x:v>1077</x:v>
      </x:c>
      <x:c r="E128" s="102" t="n">
        <x:f>IF(A128=0,0,C128)</x:f>
        <x:v>1077</x:v>
      </x:c>
      <x:c r="F128" s="102" t="n">
        <x:f>C128-C127</x:f>
        <x:v>5</x:v>
      </x:c>
      <x:c r="G128" s="103" t="n">
        <x:f>D128*INDEX('기본 맵 및 CM3'!$D$5:$D$8,'요약'!$B$5)</x:f>
        <x:v>53850</x:v>
      </x:c>
    </x:row>
    <x:row r="129">
      <x:c r="A129" s="131" t="n">
        <x:v>124</x:v>
      </x:c>
      <x:c r="B129" s="55" t="n">
        <x:f>A129*4</x:f>
        <x:v>496</x:v>
      </x:c>
      <x:c r="C129" s="102" t="n">
        <x:f>INDEX('기본 맵 및 CM3'!$Q$5:$Q$8,'요약'!$B$5)+INT(INDEX('기본 맵 및 CM3'!$K$5:$K$8,'요약'!$B$5)*A129/4096)</x:f>
        <x:v>1082</x:v>
      </x:c>
      <x:c r="D129" s="102" t="n">
        <x:f>IF(AND('요약'!$B$13=1,A129=0),0,C129)</x:f>
        <x:v>1082</x:v>
      </x:c>
      <x:c r="E129" s="102" t="n">
        <x:f>IF(A129=0,0,C129)</x:f>
        <x:v>1082</x:v>
      </x:c>
      <x:c r="F129" s="102" t="n">
        <x:f>C129-C128</x:f>
        <x:v>5</x:v>
      </x:c>
      <x:c r="G129" s="103" t="n">
        <x:f>D129*INDEX('기본 맵 및 CM3'!$D$5:$D$8,'요약'!$B$5)</x:f>
        <x:v>54100</x:v>
      </x:c>
    </x:row>
    <x:row r="130">
      <x:c r="A130" s="131" t="n">
        <x:v>125</x:v>
      </x:c>
      <x:c r="B130" s="55" t="n">
        <x:f>A130*4</x:f>
        <x:v>500</x:v>
      </x:c>
      <x:c r="C130" s="102" t="n">
        <x:f>INDEX('기본 맵 및 CM3'!$Q$5:$Q$8,'요약'!$B$5)+INT(INDEX('기본 맵 및 CM3'!$K$5:$K$8,'요약'!$B$5)*A130/4096)</x:f>
        <x:v>1086</x:v>
      </x:c>
      <x:c r="D130" s="102" t="n">
        <x:f>IF(AND('요약'!$B$13=1,A130=0),0,C130)</x:f>
        <x:v>1086</x:v>
      </x:c>
      <x:c r="E130" s="102" t="n">
        <x:f>IF(A130=0,0,C130)</x:f>
        <x:v>1086</x:v>
      </x:c>
      <x:c r="F130" s="102" t="n">
        <x:f>C130-C129</x:f>
        <x:v>4</x:v>
      </x:c>
      <x:c r="G130" s="103" t="n">
        <x:f>D130*INDEX('기본 맵 및 CM3'!$D$5:$D$8,'요약'!$B$5)</x:f>
        <x:v>54300</x:v>
      </x:c>
    </x:row>
    <x:row r="131">
      <x:c r="A131" s="131" t="n">
        <x:v>126</x:v>
      </x:c>
      <x:c r="B131" s="55" t="n">
        <x:f>A131*4</x:f>
        <x:v>504</x:v>
      </x:c>
      <x:c r="C131" s="102" t="n">
        <x:f>INDEX('기본 맵 및 CM3'!$Q$5:$Q$8,'요약'!$B$5)+INT(INDEX('기본 맵 및 CM3'!$K$5:$K$8,'요약'!$B$5)*A131/4096)</x:f>
        <x:v>1091</x:v>
      </x:c>
      <x:c r="D131" s="102" t="n">
        <x:f>IF(AND('요약'!$B$13=1,A131=0),0,C131)</x:f>
        <x:v>1091</x:v>
      </x:c>
      <x:c r="E131" s="102" t="n">
        <x:f>IF(A131=0,0,C131)</x:f>
        <x:v>1091</x:v>
      </x:c>
      <x:c r="F131" s="102" t="n">
        <x:f>C131-C130</x:f>
        <x:v>5</x:v>
      </x:c>
      <x:c r="G131" s="103" t="n">
        <x:f>D131*INDEX('기본 맵 및 CM3'!$D$5:$D$8,'요약'!$B$5)</x:f>
        <x:v>54550</x:v>
      </x:c>
    </x:row>
    <x:row r="132">
      <x:c r="A132" s="131" t="n">
        <x:v>127</x:v>
      </x:c>
      <x:c r="B132" s="55" t="n">
        <x:f>A132*4</x:f>
        <x:v>508</x:v>
      </x:c>
      <x:c r="C132" s="102" t="n">
        <x:f>INDEX('기본 맵 및 CM3'!$Q$5:$Q$8,'요약'!$B$5)+INT(INDEX('기본 맵 및 CM3'!$K$5:$K$8,'요약'!$B$5)*A132/4096)</x:f>
        <x:v>1096</x:v>
      </x:c>
      <x:c r="D132" s="102" t="n">
        <x:f>IF(AND('요약'!$B$13=1,A132=0),0,C132)</x:f>
        <x:v>1096</x:v>
      </x:c>
      <x:c r="E132" s="102" t="n">
        <x:f>IF(A132=0,0,C132)</x:f>
        <x:v>1096</x:v>
      </x:c>
      <x:c r="F132" s="102" t="n">
        <x:f>C132-C131</x:f>
        <x:v>5</x:v>
      </x:c>
      <x:c r="G132" s="103" t="n">
        <x:f>D132*INDEX('기본 맵 및 CM3'!$D$5:$D$8,'요약'!$B$5)</x:f>
        <x:v>54800</x:v>
      </x:c>
    </x:row>
    <x:row r="133">
      <x:c r="A133" s="131" t="n">
        <x:v>128</x:v>
      </x:c>
      <x:c r="B133" s="55" t="n">
        <x:f>A133*4</x:f>
        <x:v>512</x:v>
      </x:c>
      <x:c r="C133" s="102" t="n">
        <x:f>INDEX('기본 맵 및 CM3'!$Q$5:$Q$8,'요약'!$B$5)+INT(INDEX('기본 맵 및 CM3'!$K$5:$K$8,'요약'!$B$5)*A133/4096)</x:f>
        <x:v>1101</x:v>
      </x:c>
      <x:c r="D133" s="102" t="n">
        <x:f>IF(AND('요약'!$B$13=1,A133=0),0,C133)</x:f>
        <x:v>1101</x:v>
      </x:c>
      <x:c r="E133" s="102" t="n">
        <x:f>IF(A133=0,0,C133)</x:f>
        <x:v>1101</x:v>
      </x:c>
      <x:c r="F133" s="102" t="n">
        <x:f>C133-C132</x:f>
        <x:v>5</x:v>
      </x:c>
      <x:c r="G133" s="103" t="n">
        <x:f>D133*INDEX('기본 맵 및 CM3'!$D$5:$D$8,'요약'!$B$5)</x:f>
        <x:v>55050</x:v>
      </x:c>
    </x:row>
    <x:row r="134">
      <x:c r="A134" s="131" t="n">
        <x:v>129</x:v>
      </x:c>
      <x:c r="B134" s="55" t="n">
        <x:f>A134*4</x:f>
        <x:v>516</x:v>
      </x:c>
      <x:c r="C134" s="102" t="n">
        <x:f>INDEX('기본 맵 및 CM3'!$Q$5:$Q$8,'요약'!$B$5)+INT(INDEX('기본 맵 및 CM3'!$K$5:$K$8,'요약'!$B$5)*A134/4096)</x:f>
        <x:v>1105</x:v>
      </x:c>
      <x:c r="D134" s="102" t="n">
        <x:f>IF(AND('요약'!$B$13=1,A134=0),0,C134)</x:f>
        <x:v>1105</x:v>
      </x:c>
      <x:c r="E134" s="102" t="n">
        <x:f>IF(A134=0,0,C134)</x:f>
        <x:v>1105</x:v>
      </x:c>
      <x:c r="F134" s="102" t="n">
        <x:f>C134-C133</x:f>
        <x:v>4</x:v>
      </x:c>
      <x:c r="G134" s="103" t="n">
        <x:f>D134*INDEX('기본 맵 및 CM3'!$D$5:$D$8,'요약'!$B$5)</x:f>
        <x:v>55250</x:v>
      </x:c>
    </x:row>
    <x:row r="135">
      <x:c r="A135" s="131" t="n">
        <x:v>130</x:v>
      </x:c>
      <x:c r="B135" s="55" t="n">
        <x:f>A135*4</x:f>
        <x:v>520</x:v>
      </x:c>
      <x:c r="C135" s="102" t="n">
        <x:f>INDEX('기본 맵 및 CM3'!$Q$5:$Q$8,'요약'!$B$5)+INT(INDEX('기본 맵 및 CM3'!$K$5:$K$8,'요약'!$B$5)*A135/4096)</x:f>
        <x:v>1110</x:v>
      </x:c>
      <x:c r="D135" s="102" t="n">
        <x:f>IF(AND('요약'!$B$13=1,A135=0),0,C135)</x:f>
        <x:v>1110</x:v>
      </x:c>
      <x:c r="E135" s="102" t="n">
        <x:f>IF(A135=0,0,C135)</x:f>
        <x:v>1110</x:v>
      </x:c>
      <x:c r="F135" s="102" t="n">
        <x:f>C135-C134</x:f>
        <x:v>5</x:v>
      </x:c>
      <x:c r="G135" s="103" t="n">
        <x:f>D135*INDEX('기본 맵 및 CM3'!$D$5:$D$8,'요약'!$B$5)</x:f>
        <x:v>55500</x:v>
      </x:c>
    </x:row>
    <x:row r="136">
      <x:c r="A136" s="131" t="n">
        <x:v>131</x:v>
      </x:c>
      <x:c r="B136" s="55" t="n">
        <x:f>A136*4</x:f>
        <x:v>524</x:v>
      </x:c>
      <x:c r="C136" s="102" t="n">
        <x:f>INDEX('기본 맵 및 CM3'!$Q$5:$Q$8,'요약'!$B$5)+INT(INDEX('기본 맵 및 CM3'!$K$5:$K$8,'요약'!$B$5)*A136/4096)</x:f>
        <x:v>1115</x:v>
      </x:c>
      <x:c r="D136" s="102" t="n">
        <x:f>IF(AND('요약'!$B$13=1,A136=0),0,C136)</x:f>
        <x:v>1115</x:v>
      </x:c>
      <x:c r="E136" s="102" t="n">
        <x:f>IF(A136=0,0,C136)</x:f>
        <x:v>1115</x:v>
      </x:c>
      <x:c r="F136" s="102" t="n">
        <x:f>C136-C135</x:f>
        <x:v>5</x:v>
      </x:c>
      <x:c r="G136" s="103" t="n">
        <x:f>D136*INDEX('기본 맵 및 CM3'!$D$5:$D$8,'요약'!$B$5)</x:f>
        <x:v>55750</x:v>
      </x:c>
    </x:row>
    <x:row r="137">
      <x:c r="A137" s="131" t="n">
        <x:v>132</x:v>
      </x:c>
      <x:c r="B137" s="55" t="n">
        <x:f>A137*4</x:f>
        <x:v>528</x:v>
      </x:c>
      <x:c r="C137" s="102" t="n">
        <x:f>INDEX('기본 맵 및 CM3'!$Q$5:$Q$8,'요약'!$B$5)+INT(INDEX('기본 맵 및 CM3'!$K$5:$K$8,'요약'!$B$5)*A137/4096)</x:f>
        <x:v>1120</x:v>
      </x:c>
      <x:c r="D137" s="102" t="n">
        <x:f>IF(AND('요약'!$B$13=1,A137=0),0,C137)</x:f>
        <x:v>1120</x:v>
      </x:c>
      <x:c r="E137" s="102" t="n">
        <x:f>IF(A137=0,0,C137)</x:f>
        <x:v>1120</x:v>
      </x:c>
      <x:c r="F137" s="102" t="n">
        <x:f>C137-C136</x:f>
        <x:v>5</x:v>
      </x:c>
      <x:c r="G137" s="103" t="n">
        <x:f>D137*INDEX('기본 맵 및 CM3'!$D$5:$D$8,'요약'!$B$5)</x:f>
        <x:v>56000</x:v>
      </x:c>
    </x:row>
    <x:row r="138">
      <x:c r="A138" s="131" t="n">
        <x:v>133</x:v>
      </x:c>
      <x:c r="B138" s="55" t="n">
        <x:f>A138*4</x:f>
        <x:v>532</x:v>
      </x:c>
      <x:c r="C138" s="102" t="n">
        <x:f>INDEX('기본 맵 및 CM3'!$Q$5:$Q$8,'요약'!$B$5)+INT(INDEX('기본 맵 및 CM3'!$K$5:$K$8,'요약'!$B$5)*A138/4096)</x:f>
        <x:v>1124</x:v>
      </x:c>
      <x:c r="D138" s="102" t="n">
        <x:f>IF(AND('요약'!$B$13=1,A138=0),0,C138)</x:f>
        <x:v>1124</x:v>
      </x:c>
      <x:c r="E138" s="102" t="n">
        <x:f>IF(A138=0,0,C138)</x:f>
        <x:v>1124</x:v>
      </x:c>
      <x:c r="F138" s="102" t="n">
        <x:f>C138-C137</x:f>
        <x:v>4</x:v>
      </x:c>
      <x:c r="G138" s="103" t="n">
        <x:f>D138*INDEX('기본 맵 및 CM3'!$D$5:$D$8,'요약'!$B$5)</x:f>
        <x:v>56200</x:v>
      </x:c>
    </x:row>
    <x:row r="139">
      <x:c r="A139" s="131" t="n">
        <x:v>134</x:v>
      </x:c>
      <x:c r="B139" s="55" t="n">
        <x:f>A139*4</x:f>
        <x:v>536</x:v>
      </x:c>
      <x:c r="C139" s="102" t="n">
        <x:f>INDEX('기본 맵 및 CM3'!$Q$5:$Q$8,'요약'!$B$5)+INT(INDEX('기본 맵 및 CM3'!$K$5:$K$8,'요약'!$B$5)*A139/4096)</x:f>
        <x:v>1129</x:v>
      </x:c>
      <x:c r="D139" s="102" t="n">
        <x:f>IF(AND('요약'!$B$13=1,A139=0),0,C139)</x:f>
        <x:v>1129</x:v>
      </x:c>
      <x:c r="E139" s="102" t="n">
        <x:f>IF(A139=0,0,C139)</x:f>
        <x:v>1129</x:v>
      </x:c>
      <x:c r="F139" s="102" t="n">
        <x:f>C139-C138</x:f>
        <x:v>5</x:v>
      </x:c>
      <x:c r="G139" s="103" t="n">
        <x:f>D139*INDEX('기본 맵 및 CM3'!$D$5:$D$8,'요약'!$B$5)</x:f>
        <x:v>56450</x:v>
      </x:c>
    </x:row>
    <x:row r="140">
      <x:c r="A140" s="131" t="n">
        <x:v>135</x:v>
      </x:c>
      <x:c r="B140" s="55" t="n">
        <x:f>A140*4</x:f>
        <x:v>540</x:v>
      </x:c>
      <x:c r="C140" s="102" t="n">
        <x:f>INDEX('기본 맵 및 CM3'!$Q$5:$Q$8,'요약'!$B$5)+INT(INDEX('기본 맵 및 CM3'!$K$5:$K$8,'요약'!$B$5)*A140/4096)</x:f>
        <x:v>1134</x:v>
      </x:c>
      <x:c r="D140" s="102" t="n">
        <x:f>IF(AND('요약'!$B$13=1,A140=0),0,C140)</x:f>
        <x:v>1134</x:v>
      </x:c>
      <x:c r="E140" s="102" t="n">
        <x:f>IF(A140=0,0,C140)</x:f>
        <x:v>1134</x:v>
      </x:c>
      <x:c r="F140" s="102" t="n">
        <x:f>C140-C139</x:f>
        <x:v>5</x:v>
      </x:c>
      <x:c r="G140" s="103" t="n">
        <x:f>D140*INDEX('기본 맵 및 CM3'!$D$5:$D$8,'요약'!$B$5)</x:f>
        <x:v>56700</x:v>
      </x:c>
    </x:row>
    <x:row r="141">
      <x:c r="A141" s="131" t="n">
        <x:v>136</x:v>
      </x:c>
      <x:c r="B141" s="55" t="n">
        <x:f>A141*4</x:f>
        <x:v>544</x:v>
      </x:c>
      <x:c r="C141" s="102" t="n">
        <x:f>INDEX('기본 맵 및 CM3'!$Q$5:$Q$8,'요약'!$B$5)+INT(INDEX('기본 맵 및 CM3'!$K$5:$K$8,'요약'!$B$5)*A141/4096)</x:f>
        <x:v>1138</x:v>
      </x:c>
      <x:c r="D141" s="102" t="n">
        <x:f>IF(AND('요약'!$B$13=1,A141=0),0,C141)</x:f>
        <x:v>1138</x:v>
      </x:c>
      <x:c r="E141" s="102" t="n">
        <x:f>IF(A141=0,0,C141)</x:f>
        <x:v>1138</x:v>
      </x:c>
      <x:c r="F141" s="102" t="n">
        <x:f>C141-C140</x:f>
        <x:v>4</x:v>
      </x:c>
      <x:c r="G141" s="103" t="n">
        <x:f>D141*INDEX('기본 맵 및 CM3'!$D$5:$D$8,'요약'!$B$5)</x:f>
        <x:v>56900</x:v>
      </x:c>
    </x:row>
    <x:row r="142">
      <x:c r="A142" s="131" t="n">
        <x:v>137</x:v>
      </x:c>
      <x:c r="B142" s="55" t="n">
        <x:f>A142*4</x:f>
        <x:v>548</x:v>
      </x:c>
      <x:c r="C142" s="102" t="n">
        <x:f>INDEX('기본 맵 및 CM3'!$Q$5:$Q$8,'요약'!$B$5)+INT(INDEX('기본 맵 및 CM3'!$K$5:$K$8,'요약'!$B$5)*A142/4096)</x:f>
        <x:v>1143</x:v>
      </x:c>
      <x:c r="D142" s="102" t="n">
        <x:f>IF(AND('요약'!$B$13=1,A142=0),0,C142)</x:f>
        <x:v>1143</x:v>
      </x:c>
      <x:c r="E142" s="102" t="n">
        <x:f>IF(A142=0,0,C142)</x:f>
        <x:v>1143</x:v>
      </x:c>
      <x:c r="F142" s="102" t="n">
        <x:f>C142-C141</x:f>
        <x:v>5</x:v>
      </x:c>
      <x:c r="G142" s="103" t="n">
        <x:f>D142*INDEX('기본 맵 및 CM3'!$D$5:$D$8,'요약'!$B$5)</x:f>
        <x:v>57150</x:v>
      </x:c>
    </x:row>
    <x:row r="143">
      <x:c r="A143" s="131" t="n">
        <x:v>138</x:v>
      </x:c>
      <x:c r="B143" s="55" t="n">
        <x:f>A143*4</x:f>
        <x:v>552</x:v>
      </x:c>
      <x:c r="C143" s="102" t="n">
        <x:f>INDEX('기본 맵 및 CM3'!$Q$5:$Q$8,'요약'!$B$5)+INT(INDEX('기본 맵 및 CM3'!$K$5:$K$8,'요약'!$B$5)*A143/4096)</x:f>
        <x:v>1148</x:v>
      </x:c>
      <x:c r="D143" s="102" t="n">
        <x:f>IF(AND('요약'!$B$13=1,A143=0),0,C143)</x:f>
        <x:v>1148</x:v>
      </x:c>
      <x:c r="E143" s="102" t="n">
        <x:f>IF(A143=0,0,C143)</x:f>
        <x:v>1148</x:v>
      </x:c>
      <x:c r="F143" s="102" t="n">
        <x:f>C143-C142</x:f>
        <x:v>5</x:v>
      </x:c>
      <x:c r="G143" s="103" t="n">
        <x:f>D143*INDEX('기본 맵 및 CM3'!$D$5:$D$8,'요약'!$B$5)</x:f>
        <x:v>57400</x:v>
      </x:c>
    </x:row>
    <x:row r="144">
      <x:c r="A144" s="131" t="n">
        <x:v>139</x:v>
      </x:c>
      <x:c r="B144" s="55" t="n">
        <x:f>A144*4</x:f>
        <x:v>556</x:v>
      </x:c>
      <x:c r="C144" s="102" t="n">
        <x:f>INDEX('기본 맵 및 CM3'!$Q$5:$Q$8,'요약'!$B$5)+INT(INDEX('기본 맵 및 CM3'!$K$5:$K$8,'요약'!$B$5)*A144/4096)</x:f>
        <x:v>1153</x:v>
      </x:c>
      <x:c r="D144" s="102" t="n">
        <x:f>IF(AND('요약'!$B$13=1,A144=0),0,C144)</x:f>
        <x:v>1153</x:v>
      </x:c>
      <x:c r="E144" s="102" t="n">
        <x:f>IF(A144=0,0,C144)</x:f>
        <x:v>1153</x:v>
      </x:c>
      <x:c r="F144" s="102" t="n">
        <x:f>C144-C143</x:f>
        <x:v>5</x:v>
      </x:c>
      <x:c r="G144" s="103" t="n">
        <x:f>D144*INDEX('기본 맵 및 CM3'!$D$5:$D$8,'요약'!$B$5)</x:f>
        <x:v>57650</x:v>
      </x:c>
    </x:row>
    <x:row r="145">
      <x:c r="A145" s="131" t="n">
        <x:v>140</x:v>
      </x:c>
      <x:c r="B145" s="55" t="n">
        <x:f>A145*4</x:f>
        <x:v>560</x:v>
      </x:c>
      <x:c r="C145" s="102" t="n">
        <x:f>INDEX('기본 맵 및 CM3'!$Q$5:$Q$8,'요약'!$B$5)+INT(INDEX('기본 맵 및 CM3'!$K$5:$K$8,'요약'!$B$5)*A145/4096)</x:f>
        <x:v>1157</x:v>
      </x:c>
      <x:c r="D145" s="102" t="n">
        <x:f>IF(AND('요약'!$B$13=1,A145=0),0,C145)</x:f>
        <x:v>1157</x:v>
      </x:c>
      <x:c r="E145" s="102" t="n">
        <x:f>IF(A145=0,0,C145)</x:f>
        <x:v>1157</x:v>
      </x:c>
      <x:c r="F145" s="102" t="n">
        <x:f>C145-C144</x:f>
        <x:v>4</x:v>
      </x:c>
      <x:c r="G145" s="103" t="n">
        <x:f>D145*INDEX('기본 맵 및 CM3'!$D$5:$D$8,'요약'!$B$5)</x:f>
        <x:v>57850</x:v>
      </x:c>
    </x:row>
    <x:row r="146">
      <x:c r="A146" s="131" t="n">
        <x:v>141</x:v>
      </x:c>
      <x:c r="B146" s="55" t="n">
        <x:f>A146*4</x:f>
        <x:v>564</x:v>
      </x:c>
      <x:c r="C146" s="102" t="n">
        <x:f>INDEX('기본 맵 및 CM3'!$Q$5:$Q$8,'요약'!$B$5)+INT(INDEX('기본 맵 및 CM3'!$K$5:$K$8,'요약'!$B$5)*A146/4096)</x:f>
        <x:v>1162</x:v>
      </x:c>
      <x:c r="D146" s="102" t="n">
        <x:f>IF(AND('요약'!$B$13=1,A146=0),0,C146)</x:f>
        <x:v>1162</x:v>
      </x:c>
      <x:c r="E146" s="102" t="n">
        <x:f>IF(A146=0,0,C146)</x:f>
        <x:v>1162</x:v>
      </x:c>
      <x:c r="F146" s="102" t="n">
        <x:f>C146-C145</x:f>
        <x:v>5</x:v>
      </x:c>
      <x:c r="G146" s="103" t="n">
        <x:f>D146*INDEX('기본 맵 및 CM3'!$D$5:$D$8,'요약'!$B$5)</x:f>
        <x:v>58100</x:v>
      </x:c>
    </x:row>
    <x:row r="147">
      <x:c r="A147" s="131" t="n">
        <x:v>142</x:v>
      </x:c>
      <x:c r="B147" s="55" t="n">
        <x:f>A147*4</x:f>
        <x:v>568</x:v>
      </x:c>
      <x:c r="C147" s="102" t="n">
        <x:f>INDEX('기본 맵 및 CM3'!$Q$5:$Q$8,'요약'!$B$5)+INT(INDEX('기본 맵 및 CM3'!$K$5:$K$8,'요약'!$B$5)*A147/4096)</x:f>
        <x:v>1167</x:v>
      </x:c>
      <x:c r="D147" s="102" t="n">
        <x:f>IF(AND('요약'!$B$13=1,A147=0),0,C147)</x:f>
        <x:v>1167</x:v>
      </x:c>
      <x:c r="E147" s="102" t="n">
        <x:f>IF(A147=0,0,C147)</x:f>
        <x:v>1167</x:v>
      </x:c>
      <x:c r="F147" s="102" t="n">
        <x:f>C147-C146</x:f>
        <x:v>5</x:v>
      </x:c>
      <x:c r="G147" s="103" t="n">
        <x:f>D147*INDEX('기본 맵 및 CM3'!$D$5:$D$8,'요약'!$B$5)</x:f>
        <x:v>58350</x:v>
      </x:c>
    </x:row>
    <x:row r="148">
      <x:c r="A148" s="131" t="n">
        <x:v>143</x:v>
      </x:c>
      <x:c r="B148" s="55" t="n">
        <x:f>A148*4</x:f>
        <x:v>572</x:v>
      </x:c>
      <x:c r="C148" s="102" t="n">
        <x:f>INDEX('기본 맵 및 CM3'!$Q$5:$Q$8,'요약'!$B$5)+INT(INDEX('기본 맵 및 CM3'!$K$5:$K$8,'요약'!$B$5)*A148/4096)</x:f>
        <x:v>1171</x:v>
      </x:c>
      <x:c r="D148" s="102" t="n">
        <x:f>IF(AND('요약'!$B$13=1,A148=0),0,C148)</x:f>
        <x:v>1171</x:v>
      </x:c>
      <x:c r="E148" s="102" t="n">
        <x:f>IF(A148=0,0,C148)</x:f>
        <x:v>1171</x:v>
      </x:c>
      <x:c r="F148" s="102" t="n">
        <x:f>C148-C147</x:f>
        <x:v>4</x:v>
      </x:c>
      <x:c r="G148" s="103" t="n">
        <x:f>D148*INDEX('기본 맵 및 CM3'!$D$5:$D$8,'요약'!$B$5)</x:f>
        <x:v>58550</x:v>
      </x:c>
    </x:row>
    <x:row r="149">
      <x:c r="A149" s="131" t="n">
        <x:v>144</x:v>
      </x:c>
      <x:c r="B149" s="55" t="n">
        <x:f>A149*4</x:f>
        <x:v>576</x:v>
      </x:c>
      <x:c r="C149" s="102" t="n">
        <x:f>INDEX('기본 맵 및 CM3'!$Q$5:$Q$8,'요약'!$B$5)+INT(INDEX('기본 맵 및 CM3'!$K$5:$K$8,'요약'!$B$5)*A149/4096)</x:f>
        <x:v>1176</x:v>
      </x:c>
      <x:c r="D149" s="102" t="n">
        <x:f>IF(AND('요약'!$B$13=1,A149=0),0,C149)</x:f>
        <x:v>1176</x:v>
      </x:c>
      <x:c r="E149" s="102" t="n">
        <x:f>IF(A149=0,0,C149)</x:f>
        <x:v>1176</x:v>
      </x:c>
      <x:c r="F149" s="102" t="n">
        <x:f>C149-C148</x:f>
        <x:v>5</x:v>
      </x:c>
      <x:c r="G149" s="103" t="n">
        <x:f>D149*INDEX('기본 맵 및 CM3'!$D$5:$D$8,'요약'!$B$5)</x:f>
        <x:v>58800</x:v>
      </x:c>
    </x:row>
    <x:row r="150">
      <x:c r="A150" s="131" t="n">
        <x:v>145</x:v>
      </x:c>
      <x:c r="B150" s="55" t="n">
        <x:f>A150*4</x:f>
        <x:v>580</x:v>
      </x:c>
      <x:c r="C150" s="102" t="n">
        <x:f>INDEX('기본 맵 및 CM3'!$Q$5:$Q$8,'요약'!$B$5)+INT(INDEX('기본 맵 및 CM3'!$K$5:$K$8,'요약'!$B$5)*A150/4096)</x:f>
        <x:v>1181</x:v>
      </x:c>
      <x:c r="D150" s="102" t="n">
        <x:f>IF(AND('요약'!$B$13=1,A150=0),0,C150)</x:f>
        <x:v>1181</x:v>
      </x:c>
      <x:c r="E150" s="102" t="n">
        <x:f>IF(A150=0,0,C150)</x:f>
        <x:v>1181</x:v>
      </x:c>
      <x:c r="F150" s="102" t="n">
        <x:f>C150-C149</x:f>
        <x:v>5</x:v>
      </x:c>
      <x:c r="G150" s="103" t="n">
        <x:f>D150*INDEX('기본 맵 및 CM3'!$D$5:$D$8,'요약'!$B$5)</x:f>
        <x:v>59050</x:v>
      </x:c>
    </x:row>
    <x:row r="151">
      <x:c r="A151" s="131" t="n">
        <x:v>146</x:v>
      </x:c>
      <x:c r="B151" s="55" t="n">
        <x:f>A151*4</x:f>
        <x:v>584</x:v>
      </x:c>
      <x:c r="C151" s="102" t="n">
        <x:f>INDEX('기본 맵 및 CM3'!$Q$5:$Q$8,'요약'!$B$5)+INT(INDEX('기본 맵 및 CM3'!$K$5:$K$8,'요약'!$B$5)*A151/4096)</x:f>
        <x:v>1186</x:v>
      </x:c>
      <x:c r="D151" s="102" t="n">
        <x:f>IF(AND('요약'!$B$13=1,A151=0),0,C151)</x:f>
        <x:v>1186</x:v>
      </x:c>
      <x:c r="E151" s="102" t="n">
        <x:f>IF(A151=0,0,C151)</x:f>
        <x:v>1186</x:v>
      </x:c>
      <x:c r="F151" s="102" t="n">
        <x:f>C151-C150</x:f>
        <x:v>5</x:v>
      </x:c>
      <x:c r="G151" s="103" t="n">
        <x:f>D151*INDEX('기본 맵 및 CM3'!$D$5:$D$8,'요약'!$B$5)</x:f>
        <x:v>59300</x:v>
      </x:c>
    </x:row>
    <x:row r="152">
      <x:c r="A152" s="131" t="n">
        <x:v>147</x:v>
      </x:c>
      <x:c r="B152" s="55" t="n">
        <x:f>A152*4</x:f>
        <x:v>588</x:v>
      </x:c>
      <x:c r="C152" s="102" t="n">
        <x:f>INDEX('기본 맵 및 CM3'!$Q$5:$Q$8,'요약'!$B$5)+INT(INDEX('기본 맵 및 CM3'!$K$5:$K$8,'요약'!$B$5)*A152/4096)</x:f>
        <x:v>1190</x:v>
      </x:c>
      <x:c r="D152" s="102" t="n">
        <x:f>IF(AND('요약'!$B$13=1,A152=0),0,C152)</x:f>
        <x:v>1190</x:v>
      </x:c>
      <x:c r="E152" s="102" t="n">
        <x:f>IF(A152=0,0,C152)</x:f>
        <x:v>1190</x:v>
      </x:c>
      <x:c r="F152" s="102" t="n">
        <x:f>C152-C151</x:f>
        <x:v>4</x:v>
      </x:c>
      <x:c r="G152" s="103" t="n">
        <x:f>D152*INDEX('기본 맵 및 CM3'!$D$5:$D$8,'요약'!$B$5)</x:f>
        <x:v>59500</x:v>
      </x:c>
    </x:row>
    <x:row r="153">
      <x:c r="A153" s="131" t="n">
        <x:v>148</x:v>
      </x:c>
      <x:c r="B153" s="55" t="n">
        <x:f>A153*4</x:f>
        <x:v>592</x:v>
      </x:c>
      <x:c r="C153" s="102" t="n">
        <x:f>INDEX('기본 맵 및 CM3'!$Q$5:$Q$8,'요약'!$B$5)+INT(INDEX('기본 맵 및 CM3'!$K$5:$K$8,'요약'!$B$5)*A153/4096)</x:f>
        <x:v>1195</x:v>
      </x:c>
      <x:c r="D153" s="102" t="n">
        <x:f>IF(AND('요약'!$B$13=1,A153=0),0,C153)</x:f>
        <x:v>1195</x:v>
      </x:c>
      <x:c r="E153" s="102" t="n">
        <x:f>IF(A153=0,0,C153)</x:f>
        <x:v>1195</x:v>
      </x:c>
      <x:c r="F153" s="102" t="n">
        <x:f>C153-C152</x:f>
        <x:v>5</x:v>
      </x:c>
      <x:c r="G153" s="103" t="n">
        <x:f>D153*INDEX('기본 맵 및 CM3'!$D$5:$D$8,'요약'!$B$5)</x:f>
        <x:v>59750</x:v>
      </x:c>
    </x:row>
    <x:row r="154">
      <x:c r="A154" s="131" t="n">
        <x:v>149</x:v>
      </x:c>
      <x:c r="B154" s="55" t="n">
        <x:f>A154*4</x:f>
        <x:v>596</x:v>
      </x:c>
      <x:c r="C154" s="102" t="n">
        <x:f>INDEX('기본 맵 및 CM3'!$Q$5:$Q$8,'요약'!$B$5)+INT(INDEX('기본 맵 및 CM3'!$K$5:$K$8,'요약'!$B$5)*A154/4096)</x:f>
        <x:v>1200</x:v>
      </x:c>
      <x:c r="D154" s="102" t="n">
        <x:f>IF(AND('요약'!$B$13=1,A154=0),0,C154)</x:f>
        <x:v>1200</x:v>
      </x:c>
      <x:c r="E154" s="102" t="n">
        <x:f>IF(A154=0,0,C154)</x:f>
        <x:v>1200</x:v>
      </x:c>
      <x:c r="F154" s="102" t="n">
        <x:f>C154-C153</x:f>
        <x:v>5</x:v>
      </x:c>
      <x:c r="G154" s="103" t="n">
        <x:f>D154*INDEX('기본 맵 및 CM3'!$D$5:$D$8,'요약'!$B$5)</x:f>
        <x:v>60000</x:v>
      </x:c>
    </x:row>
    <x:row r="155">
      <x:c r="A155" s="131" t="n">
        <x:v>150</x:v>
      </x:c>
      <x:c r="B155" s="55" t="n">
        <x:f>A155*4</x:f>
        <x:v>600</x:v>
      </x:c>
      <x:c r="C155" s="102" t="n">
        <x:f>INDEX('기본 맵 및 CM3'!$Q$5:$Q$8,'요약'!$B$5)+INT(INDEX('기본 맵 및 CM3'!$K$5:$K$8,'요약'!$B$5)*A155/4096)</x:f>
        <x:v>1204</x:v>
      </x:c>
      <x:c r="D155" s="102" t="n">
        <x:f>IF(AND('요약'!$B$13=1,A155=0),0,C155)</x:f>
        <x:v>1204</x:v>
      </x:c>
      <x:c r="E155" s="102" t="n">
        <x:f>IF(A155=0,0,C155)</x:f>
        <x:v>1204</x:v>
      </x:c>
      <x:c r="F155" s="102" t="n">
        <x:f>C155-C154</x:f>
        <x:v>4</x:v>
      </x:c>
      <x:c r="G155" s="103" t="n">
        <x:f>D155*INDEX('기본 맵 및 CM3'!$D$5:$D$8,'요약'!$B$5)</x:f>
        <x:v>60200</x:v>
      </x:c>
    </x:row>
    <x:row r="156">
      <x:c r="A156" s="131" t="n">
        <x:v>151</x:v>
      </x:c>
      <x:c r="B156" s="55" t="n">
        <x:f>A156*4</x:f>
        <x:v>604</x:v>
      </x:c>
      <x:c r="C156" s="102" t="n">
        <x:f>INDEX('기본 맵 및 CM3'!$Q$5:$Q$8,'요약'!$B$5)+INT(INDEX('기본 맵 및 CM3'!$K$5:$K$8,'요약'!$B$5)*A156/4096)</x:f>
        <x:v>1209</x:v>
      </x:c>
      <x:c r="D156" s="102" t="n">
        <x:f>IF(AND('요약'!$B$13=1,A156=0),0,C156)</x:f>
        <x:v>1209</x:v>
      </x:c>
      <x:c r="E156" s="102" t="n">
        <x:f>IF(A156=0,0,C156)</x:f>
        <x:v>1209</x:v>
      </x:c>
      <x:c r="F156" s="102" t="n">
        <x:f>C156-C155</x:f>
        <x:v>5</x:v>
      </x:c>
      <x:c r="G156" s="103" t="n">
        <x:f>D156*INDEX('기본 맵 및 CM3'!$D$5:$D$8,'요약'!$B$5)</x:f>
        <x:v>60450</x:v>
      </x:c>
    </x:row>
    <x:row r="157">
      <x:c r="A157" s="131" t="n">
        <x:v>152</x:v>
      </x:c>
      <x:c r="B157" s="55" t="n">
        <x:f>A157*4</x:f>
        <x:v>608</x:v>
      </x:c>
      <x:c r="C157" s="102" t="n">
        <x:f>INDEX('기본 맵 및 CM3'!$Q$5:$Q$8,'요약'!$B$5)+INT(INDEX('기본 맵 및 CM3'!$K$5:$K$8,'요약'!$B$5)*A157/4096)</x:f>
        <x:v>1214</x:v>
      </x:c>
      <x:c r="D157" s="102" t="n">
        <x:f>IF(AND('요약'!$B$13=1,A157=0),0,C157)</x:f>
        <x:v>1214</x:v>
      </x:c>
      <x:c r="E157" s="102" t="n">
        <x:f>IF(A157=0,0,C157)</x:f>
        <x:v>1214</x:v>
      </x:c>
      <x:c r="F157" s="102" t="n">
        <x:f>C157-C156</x:f>
        <x:v>5</x:v>
      </x:c>
      <x:c r="G157" s="103" t="n">
        <x:f>D157*INDEX('기본 맵 및 CM3'!$D$5:$D$8,'요약'!$B$5)</x:f>
        <x:v>60700</x:v>
      </x:c>
    </x:row>
    <x:row r="158">
      <x:c r="A158" s="131" t="n">
        <x:v>153</x:v>
      </x:c>
      <x:c r="B158" s="55" t="n">
        <x:f>A158*4</x:f>
        <x:v>612</x:v>
      </x:c>
      <x:c r="C158" s="102" t="n">
        <x:f>INDEX('기본 맵 및 CM3'!$Q$5:$Q$8,'요약'!$B$5)+INT(INDEX('기본 맵 및 CM3'!$K$5:$K$8,'요약'!$B$5)*A158/4096)</x:f>
        <x:v>1219</x:v>
      </x:c>
      <x:c r="D158" s="102" t="n">
        <x:f>IF(AND('요약'!$B$13=1,A158=0),0,C158)</x:f>
        <x:v>1219</x:v>
      </x:c>
      <x:c r="E158" s="102" t="n">
        <x:f>IF(A158=0,0,C158)</x:f>
        <x:v>1219</x:v>
      </x:c>
      <x:c r="F158" s="102" t="n">
        <x:f>C158-C157</x:f>
        <x:v>5</x:v>
      </x:c>
      <x:c r="G158" s="103" t="n">
        <x:f>D158*INDEX('기본 맵 및 CM3'!$D$5:$D$8,'요약'!$B$5)</x:f>
        <x:v>60950</x:v>
      </x:c>
    </x:row>
    <x:row r="159">
      <x:c r="A159" s="131" t="n">
        <x:v>154</x:v>
      </x:c>
      <x:c r="B159" s="55" t="n">
        <x:f>A159*4</x:f>
        <x:v>616</x:v>
      </x:c>
      <x:c r="C159" s="102" t="n">
        <x:f>INDEX('기본 맵 및 CM3'!$Q$5:$Q$8,'요약'!$B$5)+INT(INDEX('기본 맵 및 CM3'!$K$5:$K$8,'요약'!$B$5)*A159/4096)</x:f>
        <x:v>1223</x:v>
      </x:c>
      <x:c r="D159" s="102" t="n">
        <x:f>IF(AND('요약'!$B$13=1,A159=0),0,C159)</x:f>
        <x:v>1223</x:v>
      </x:c>
      <x:c r="E159" s="102" t="n">
        <x:f>IF(A159=0,0,C159)</x:f>
        <x:v>1223</x:v>
      </x:c>
      <x:c r="F159" s="102" t="n">
        <x:f>C159-C158</x:f>
        <x:v>4</x:v>
      </x:c>
      <x:c r="G159" s="103" t="n">
        <x:f>D159*INDEX('기본 맵 및 CM3'!$D$5:$D$8,'요약'!$B$5)</x:f>
        <x:v>61150</x:v>
      </x:c>
    </x:row>
    <x:row r="160">
      <x:c r="A160" s="131" t="n">
        <x:v>155</x:v>
      </x:c>
      <x:c r="B160" s="55" t="n">
        <x:f>A160*4</x:f>
        <x:v>620</x:v>
      </x:c>
      <x:c r="C160" s="102" t="n">
        <x:f>INDEX('기본 맵 및 CM3'!$Q$5:$Q$8,'요약'!$B$5)+INT(INDEX('기본 맵 및 CM3'!$K$5:$K$8,'요약'!$B$5)*A160/4096)</x:f>
        <x:v>1228</x:v>
      </x:c>
      <x:c r="D160" s="102" t="n">
        <x:f>IF(AND('요약'!$B$13=1,A160=0),0,C160)</x:f>
        <x:v>1228</x:v>
      </x:c>
      <x:c r="E160" s="102" t="n">
        <x:f>IF(A160=0,0,C160)</x:f>
        <x:v>1228</x:v>
      </x:c>
      <x:c r="F160" s="102" t="n">
        <x:f>C160-C159</x:f>
        <x:v>5</x:v>
      </x:c>
      <x:c r="G160" s="103" t="n">
        <x:f>D160*INDEX('기본 맵 및 CM3'!$D$5:$D$8,'요약'!$B$5)</x:f>
        <x:v>61400</x:v>
      </x:c>
    </x:row>
    <x:row r="161">
      <x:c r="A161" s="131" t="n">
        <x:v>156</x:v>
      </x:c>
      <x:c r="B161" s="55" t="n">
        <x:f>A161*4</x:f>
        <x:v>624</x:v>
      </x:c>
      <x:c r="C161" s="102" t="n">
        <x:f>INDEX('기본 맵 및 CM3'!$Q$5:$Q$8,'요약'!$B$5)+INT(INDEX('기본 맵 및 CM3'!$K$5:$K$8,'요약'!$B$5)*A161/4096)</x:f>
        <x:v>1233</x:v>
      </x:c>
      <x:c r="D161" s="102" t="n">
        <x:f>IF(AND('요약'!$B$13=1,A161=0),0,C161)</x:f>
        <x:v>1233</x:v>
      </x:c>
      <x:c r="E161" s="102" t="n">
        <x:f>IF(A161=0,0,C161)</x:f>
        <x:v>1233</x:v>
      </x:c>
      <x:c r="F161" s="102" t="n">
        <x:f>C161-C160</x:f>
        <x:v>5</x:v>
      </x:c>
      <x:c r="G161" s="103" t="n">
        <x:f>D161*INDEX('기본 맵 및 CM3'!$D$5:$D$8,'요약'!$B$5)</x:f>
        <x:v>61650</x:v>
      </x:c>
    </x:row>
    <x:row r="162">
      <x:c r="A162" s="131" t="n">
        <x:v>157</x:v>
      </x:c>
      <x:c r="B162" s="55" t="n">
        <x:f>A162*4</x:f>
        <x:v>628</x:v>
      </x:c>
      <x:c r="C162" s="102" t="n">
        <x:f>INDEX('기본 맵 및 CM3'!$Q$5:$Q$8,'요약'!$B$5)+INT(INDEX('기본 맵 및 CM3'!$K$5:$K$8,'요약'!$B$5)*A162/4096)</x:f>
        <x:v>1238</x:v>
      </x:c>
      <x:c r="D162" s="102" t="n">
        <x:f>IF(AND('요약'!$B$13=1,A162=0),0,C162)</x:f>
        <x:v>1238</x:v>
      </x:c>
      <x:c r="E162" s="102" t="n">
        <x:f>IF(A162=0,0,C162)</x:f>
        <x:v>1238</x:v>
      </x:c>
      <x:c r="F162" s="102" t="n">
        <x:f>C162-C161</x:f>
        <x:v>5</x:v>
      </x:c>
      <x:c r="G162" s="103" t="n">
        <x:f>D162*INDEX('기본 맵 및 CM3'!$D$5:$D$8,'요약'!$B$5)</x:f>
        <x:v>61900</x:v>
      </x:c>
    </x:row>
    <x:row r="163">
      <x:c r="A163" s="131" t="n">
        <x:v>158</x:v>
      </x:c>
      <x:c r="B163" s="55" t="n">
        <x:f>A163*4</x:f>
        <x:v>632</x:v>
      </x:c>
      <x:c r="C163" s="102" t="n">
        <x:f>INDEX('기본 맵 및 CM3'!$Q$5:$Q$8,'요약'!$B$5)+INT(INDEX('기본 맵 및 CM3'!$K$5:$K$8,'요약'!$B$5)*A163/4096)</x:f>
        <x:v>1242</x:v>
      </x:c>
      <x:c r="D163" s="102" t="n">
        <x:f>IF(AND('요약'!$B$13=1,A163=0),0,C163)</x:f>
        <x:v>1242</x:v>
      </x:c>
      <x:c r="E163" s="102" t="n">
        <x:f>IF(A163=0,0,C163)</x:f>
        <x:v>1242</x:v>
      </x:c>
      <x:c r="F163" s="102" t="n">
        <x:f>C163-C162</x:f>
        <x:v>4</x:v>
      </x:c>
      <x:c r="G163" s="103" t="n">
        <x:f>D163*INDEX('기본 맵 및 CM3'!$D$5:$D$8,'요약'!$B$5)</x:f>
        <x:v>62100</x:v>
      </x:c>
    </x:row>
    <x:row r="164">
      <x:c r="A164" s="131" t="n">
        <x:v>159</x:v>
      </x:c>
      <x:c r="B164" s="55" t="n">
        <x:f>A164*4</x:f>
        <x:v>636</x:v>
      </x:c>
      <x:c r="C164" s="102" t="n">
        <x:f>INDEX('기본 맵 및 CM3'!$Q$5:$Q$8,'요약'!$B$5)+INT(INDEX('기본 맵 및 CM3'!$K$5:$K$8,'요약'!$B$5)*A164/4096)</x:f>
        <x:v>1247</x:v>
      </x:c>
      <x:c r="D164" s="102" t="n">
        <x:f>IF(AND('요약'!$B$13=1,A164=0),0,C164)</x:f>
        <x:v>1247</x:v>
      </x:c>
      <x:c r="E164" s="102" t="n">
        <x:f>IF(A164=0,0,C164)</x:f>
        <x:v>1247</x:v>
      </x:c>
      <x:c r="F164" s="102" t="n">
        <x:f>C164-C163</x:f>
        <x:v>5</x:v>
      </x:c>
      <x:c r="G164" s="103" t="n">
        <x:f>D164*INDEX('기본 맵 및 CM3'!$D$5:$D$8,'요약'!$B$5)</x:f>
        <x:v>62350</x:v>
      </x:c>
    </x:row>
    <x:row r="165">
      <x:c r="A165" s="131" t="n">
        <x:v>160</x:v>
      </x:c>
      <x:c r="B165" s="55" t="n">
        <x:f>A165*4</x:f>
        <x:v>640</x:v>
      </x:c>
      <x:c r="C165" s="102" t="n">
        <x:f>INDEX('기본 맵 및 CM3'!$Q$5:$Q$8,'요약'!$B$5)+INT(INDEX('기본 맵 및 CM3'!$K$5:$K$8,'요약'!$B$5)*A165/4096)</x:f>
        <x:v>1252</x:v>
      </x:c>
      <x:c r="D165" s="102" t="n">
        <x:f>IF(AND('요약'!$B$13=1,A165=0),0,C165)</x:f>
        <x:v>1252</x:v>
      </x:c>
      <x:c r="E165" s="102" t="n">
        <x:f>IF(A165=0,0,C165)</x:f>
        <x:v>1252</x:v>
      </x:c>
      <x:c r="F165" s="102" t="n">
        <x:f>C165-C164</x:f>
        <x:v>5</x:v>
      </x:c>
      <x:c r="G165" s="103" t="n">
        <x:f>D165*INDEX('기본 맵 및 CM3'!$D$5:$D$8,'요약'!$B$5)</x:f>
        <x:v>62600</x:v>
      </x:c>
    </x:row>
    <x:row r="166">
      <x:c r="A166" s="131" t="n">
        <x:v>161</x:v>
      </x:c>
      <x:c r="B166" s="55" t="n">
        <x:f>A166*4</x:f>
        <x:v>644</x:v>
      </x:c>
      <x:c r="C166" s="102" t="n">
        <x:f>INDEX('기본 맵 및 CM3'!$Q$5:$Q$8,'요약'!$B$5)+INT(INDEX('기본 맵 및 CM3'!$K$5:$K$8,'요약'!$B$5)*A166/4096)</x:f>
        <x:v>1256</x:v>
      </x:c>
      <x:c r="D166" s="102" t="n">
        <x:f>IF(AND('요약'!$B$13=1,A166=0),0,C166)</x:f>
        <x:v>1256</x:v>
      </x:c>
      <x:c r="E166" s="102" t="n">
        <x:f>IF(A166=0,0,C166)</x:f>
        <x:v>1256</x:v>
      </x:c>
      <x:c r="F166" s="102" t="n">
        <x:f>C166-C165</x:f>
        <x:v>4</x:v>
      </x:c>
      <x:c r="G166" s="103" t="n">
        <x:f>D166*INDEX('기본 맵 및 CM3'!$D$5:$D$8,'요약'!$B$5)</x:f>
        <x:v>62800</x:v>
      </x:c>
    </x:row>
    <x:row r="167">
      <x:c r="A167" s="131" t="n">
        <x:v>162</x:v>
      </x:c>
      <x:c r="B167" s="55" t="n">
        <x:f>A167*4</x:f>
        <x:v>648</x:v>
      </x:c>
      <x:c r="C167" s="102" t="n">
        <x:f>INDEX('기본 맵 및 CM3'!$Q$5:$Q$8,'요약'!$B$5)+INT(INDEX('기본 맵 및 CM3'!$K$5:$K$8,'요약'!$B$5)*A167/4096)</x:f>
        <x:v>1261</x:v>
      </x:c>
      <x:c r="D167" s="102" t="n">
        <x:f>IF(AND('요약'!$B$13=1,A167=0),0,C167)</x:f>
        <x:v>1261</x:v>
      </x:c>
      <x:c r="E167" s="102" t="n">
        <x:f>IF(A167=0,0,C167)</x:f>
        <x:v>1261</x:v>
      </x:c>
      <x:c r="F167" s="102" t="n">
        <x:f>C167-C166</x:f>
        <x:v>5</x:v>
      </x:c>
      <x:c r="G167" s="103" t="n">
        <x:f>D167*INDEX('기본 맵 및 CM3'!$D$5:$D$8,'요약'!$B$5)</x:f>
        <x:v>63050</x:v>
      </x:c>
    </x:row>
    <x:row r="168">
      <x:c r="A168" s="131" t="n">
        <x:v>163</x:v>
      </x:c>
      <x:c r="B168" s="55" t="n">
        <x:f>A168*4</x:f>
        <x:v>652</x:v>
      </x:c>
      <x:c r="C168" s="102" t="n">
        <x:f>INDEX('기본 맵 및 CM3'!$Q$5:$Q$8,'요약'!$B$5)+INT(INDEX('기본 맵 및 CM3'!$K$5:$K$8,'요약'!$B$5)*A168/4096)</x:f>
        <x:v>1266</x:v>
      </x:c>
      <x:c r="D168" s="102" t="n">
        <x:f>IF(AND('요약'!$B$13=1,A168=0),0,C168)</x:f>
        <x:v>1266</x:v>
      </x:c>
      <x:c r="E168" s="102" t="n">
        <x:f>IF(A168=0,0,C168)</x:f>
        <x:v>1266</x:v>
      </x:c>
      <x:c r="F168" s="102" t="n">
        <x:f>C168-C167</x:f>
        <x:v>5</x:v>
      </x:c>
      <x:c r="G168" s="103" t="n">
        <x:f>D168*INDEX('기본 맵 및 CM3'!$D$5:$D$8,'요약'!$B$5)</x:f>
        <x:v>63300</x:v>
      </x:c>
    </x:row>
    <x:row r="169">
      <x:c r="A169" s="131" t="n">
        <x:v>164</x:v>
      </x:c>
      <x:c r="B169" s="55" t="n">
        <x:f>A169*4</x:f>
        <x:v>656</x:v>
      </x:c>
      <x:c r="C169" s="102" t="n">
        <x:f>INDEX('기본 맵 및 CM3'!$Q$5:$Q$8,'요약'!$B$5)+INT(INDEX('기본 맵 및 CM3'!$K$5:$K$8,'요약'!$B$5)*A169/4096)</x:f>
        <x:v>1271</x:v>
      </x:c>
      <x:c r="D169" s="102" t="n">
        <x:f>IF(AND('요약'!$B$13=1,A169=0),0,C169)</x:f>
        <x:v>1271</x:v>
      </x:c>
      <x:c r="E169" s="102" t="n">
        <x:f>IF(A169=0,0,C169)</x:f>
        <x:v>1271</x:v>
      </x:c>
      <x:c r="F169" s="102" t="n">
        <x:f>C169-C168</x:f>
        <x:v>5</x:v>
      </x:c>
      <x:c r="G169" s="103" t="n">
        <x:f>D169*INDEX('기본 맵 및 CM3'!$D$5:$D$8,'요약'!$B$5)</x:f>
        <x:v>63550</x:v>
      </x:c>
    </x:row>
    <x:row r="170">
      <x:c r="A170" s="131" t="n">
        <x:v>165</x:v>
      </x:c>
      <x:c r="B170" s="55" t="n">
        <x:f>A170*4</x:f>
        <x:v>660</x:v>
      </x:c>
      <x:c r="C170" s="102" t="n">
        <x:f>INDEX('기본 맵 및 CM3'!$Q$5:$Q$8,'요약'!$B$5)+INT(INDEX('기본 맵 및 CM3'!$K$5:$K$8,'요약'!$B$5)*A170/4096)</x:f>
        <x:v>1275</x:v>
      </x:c>
      <x:c r="D170" s="102" t="n">
        <x:f>IF(AND('요약'!$B$13=1,A170=0),0,C170)</x:f>
        <x:v>1275</x:v>
      </x:c>
      <x:c r="E170" s="102" t="n">
        <x:f>IF(A170=0,0,C170)</x:f>
        <x:v>1275</x:v>
      </x:c>
      <x:c r="F170" s="102" t="n">
        <x:f>C170-C169</x:f>
        <x:v>4</x:v>
      </x:c>
      <x:c r="G170" s="103" t="n">
        <x:f>D170*INDEX('기본 맵 및 CM3'!$D$5:$D$8,'요약'!$B$5)</x:f>
        <x:v>63750</x:v>
      </x:c>
    </x:row>
    <x:row r="171">
      <x:c r="A171" s="131" t="n">
        <x:v>166</x:v>
      </x:c>
      <x:c r="B171" s="55" t="n">
        <x:f>A171*4</x:f>
        <x:v>664</x:v>
      </x:c>
      <x:c r="C171" s="102" t="n">
        <x:f>INDEX('기본 맵 및 CM3'!$Q$5:$Q$8,'요약'!$B$5)+INT(INDEX('기본 맵 및 CM3'!$K$5:$K$8,'요약'!$B$5)*A171/4096)</x:f>
        <x:v>1280</x:v>
      </x:c>
      <x:c r="D171" s="102" t="n">
        <x:f>IF(AND('요약'!$B$13=1,A171=0),0,C171)</x:f>
        <x:v>1280</x:v>
      </x:c>
      <x:c r="E171" s="102" t="n">
        <x:f>IF(A171=0,0,C171)</x:f>
        <x:v>1280</x:v>
      </x:c>
      <x:c r="F171" s="102" t="n">
        <x:f>C171-C170</x:f>
        <x:v>5</x:v>
      </x:c>
      <x:c r="G171" s="103" t="n">
        <x:f>D171*INDEX('기본 맵 및 CM3'!$D$5:$D$8,'요약'!$B$5)</x:f>
        <x:v>64000</x:v>
      </x:c>
    </x:row>
    <x:row r="172">
      <x:c r="A172" s="131" t="n">
        <x:v>167</x:v>
      </x:c>
      <x:c r="B172" s="55" t="n">
        <x:f>A172*4</x:f>
        <x:v>668</x:v>
      </x:c>
      <x:c r="C172" s="102" t="n">
        <x:f>INDEX('기본 맵 및 CM3'!$Q$5:$Q$8,'요약'!$B$5)+INT(INDEX('기본 맵 및 CM3'!$K$5:$K$8,'요약'!$B$5)*A172/4096)</x:f>
        <x:v>1285</x:v>
      </x:c>
      <x:c r="D172" s="102" t="n">
        <x:f>IF(AND('요약'!$B$13=1,A172=0),0,C172)</x:f>
        <x:v>1285</x:v>
      </x:c>
      <x:c r="E172" s="102" t="n">
        <x:f>IF(A172=0,0,C172)</x:f>
        <x:v>1285</x:v>
      </x:c>
      <x:c r="F172" s="102" t="n">
        <x:f>C172-C171</x:f>
        <x:v>5</x:v>
      </x:c>
      <x:c r="G172" s="103" t="n">
        <x:f>D172*INDEX('기본 맵 및 CM3'!$D$5:$D$8,'요약'!$B$5)</x:f>
        <x:v>64250</x:v>
      </x:c>
    </x:row>
    <x:row r="173">
      <x:c r="A173" s="131" t="n">
        <x:v>168</x:v>
      </x:c>
      <x:c r="B173" s="55" t="n">
        <x:f>A173*4</x:f>
        <x:v>672</x:v>
      </x:c>
      <x:c r="C173" s="102" t="n">
        <x:f>INDEX('기본 맵 및 CM3'!$Q$5:$Q$8,'요약'!$B$5)+INT(INDEX('기본 맵 및 CM3'!$K$5:$K$8,'요약'!$B$5)*A173/4096)</x:f>
        <x:v>1289</x:v>
      </x:c>
      <x:c r="D173" s="102" t="n">
        <x:f>IF(AND('요약'!$B$13=1,A173=0),0,C173)</x:f>
        <x:v>1289</x:v>
      </x:c>
      <x:c r="E173" s="102" t="n">
        <x:f>IF(A173=0,0,C173)</x:f>
        <x:v>1289</x:v>
      </x:c>
      <x:c r="F173" s="102" t="n">
        <x:f>C173-C172</x:f>
        <x:v>4</x:v>
      </x:c>
      <x:c r="G173" s="103" t="n">
        <x:f>D173*INDEX('기본 맵 및 CM3'!$D$5:$D$8,'요약'!$B$5)</x:f>
        <x:v>64450</x:v>
      </x:c>
    </x:row>
    <x:row r="174">
      <x:c r="A174" s="131" t="n">
        <x:v>169</x:v>
      </x:c>
      <x:c r="B174" s="55" t="n">
        <x:f>A174*4</x:f>
        <x:v>676</x:v>
      </x:c>
      <x:c r="C174" s="102" t="n">
        <x:f>INDEX('기본 맵 및 CM3'!$Q$5:$Q$8,'요약'!$B$5)+INT(INDEX('기본 맵 및 CM3'!$K$5:$K$8,'요약'!$B$5)*A174/4096)</x:f>
        <x:v>1294</x:v>
      </x:c>
      <x:c r="D174" s="102" t="n">
        <x:f>IF(AND('요약'!$B$13=1,A174=0),0,C174)</x:f>
        <x:v>1294</x:v>
      </x:c>
      <x:c r="E174" s="102" t="n">
        <x:f>IF(A174=0,0,C174)</x:f>
        <x:v>1294</x:v>
      </x:c>
      <x:c r="F174" s="102" t="n">
        <x:f>C174-C173</x:f>
        <x:v>5</x:v>
      </x:c>
      <x:c r="G174" s="103" t="n">
        <x:f>D174*INDEX('기본 맵 및 CM3'!$D$5:$D$8,'요약'!$B$5)</x:f>
        <x:v>64700</x:v>
      </x:c>
    </x:row>
    <x:row r="175">
      <x:c r="A175" s="131" t="n">
        <x:v>170</x:v>
      </x:c>
      <x:c r="B175" s="55" t="n">
        <x:f>A175*4</x:f>
        <x:v>680</x:v>
      </x:c>
      <x:c r="C175" s="102" t="n">
        <x:f>INDEX('기본 맵 및 CM3'!$Q$5:$Q$8,'요약'!$B$5)+INT(INDEX('기본 맵 및 CM3'!$K$5:$K$8,'요약'!$B$5)*A175/4096)</x:f>
        <x:v>1299</x:v>
      </x:c>
      <x:c r="D175" s="102" t="n">
        <x:f>IF(AND('요약'!$B$13=1,A175=0),0,C175)</x:f>
        <x:v>1299</x:v>
      </x:c>
      <x:c r="E175" s="102" t="n">
        <x:f>IF(A175=0,0,C175)</x:f>
        <x:v>1299</x:v>
      </x:c>
      <x:c r="F175" s="102" t="n">
        <x:f>C175-C174</x:f>
        <x:v>5</x:v>
      </x:c>
      <x:c r="G175" s="103" t="n">
        <x:f>D175*INDEX('기본 맵 및 CM3'!$D$5:$D$8,'요약'!$B$5)</x:f>
        <x:v>64950</x:v>
      </x:c>
    </x:row>
    <x:row r="176">
      <x:c r="A176" s="131" t="n">
        <x:v>171</x:v>
      </x:c>
      <x:c r="B176" s="55" t="n">
        <x:f>A176*4</x:f>
        <x:v>684</x:v>
      </x:c>
      <x:c r="C176" s="102" t="n">
        <x:f>INDEX('기본 맵 및 CM3'!$Q$5:$Q$8,'요약'!$B$5)+INT(INDEX('기본 맵 및 CM3'!$K$5:$K$8,'요약'!$B$5)*A176/4096)</x:f>
        <x:v>1304</x:v>
      </x:c>
      <x:c r="D176" s="102" t="n">
        <x:f>IF(AND('요약'!$B$13=1,A176=0),0,C176)</x:f>
        <x:v>1304</x:v>
      </x:c>
      <x:c r="E176" s="102" t="n">
        <x:f>IF(A176=0,0,C176)</x:f>
        <x:v>1304</x:v>
      </x:c>
      <x:c r="F176" s="102" t="n">
        <x:f>C176-C175</x:f>
        <x:v>5</x:v>
      </x:c>
      <x:c r="G176" s="103" t="n">
        <x:f>D176*INDEX('기본 맵 및 CM3'!$D$5:$D$8,'요약'!$B$5)</x:f>
        <x:v>65200</x:v>
      </x:c>
    </x:row>
    <x:row r="177">
      <x:c r="A177" s="131" t="n">
        <x:v>172</x:v>
      </x:c>
      <x:c r="B177" s="55" t="n">
        <x:f>A177*4</x:f>
        <x:v>688</x:v>
      </x:c>
      <x:c r="C177" s="102" t="n">
        <x:f>INDEX('기본 맵 및 CM3'!$Q$5:$Q$8,'요약'!$B$5)+INT(INDEX('기본 맵 및 CM3'!$K$5:$K$8,'요약'!$B$5)*A177/4096)</x:f>
        <x:v>1308</x:v>
      </x:c>
      <x:c r="D177" s="102" t="n">
        <x:f>IF(AND('요약'!$B$13=1,A177=0),0,C177)</x:f>
        <x:v>1308</x:v>
      </x:c>
      <x:c r="E177" s="102" t="n">
        <x:f>IF(A177=0,0,C177)</x:f>
        <x:v>1308</x:v>
      </x:c>
      <x:c r="F177" s="102" t="n">
        <x:f>C177-C176</x:f>
        <x:v>4</x:v>
      </x:c>
      <x:c r="G177" s="103" t="n">
        <x:f>D177*INDEX('기본 맵 및 CM3'!$D$5:$D$8,'요약'!$B$5)</x:f>
        <x:v>65400</x:v>
      </x:c>
    </x:row>
    <x:row r="178">
      <x:c r="A178" s="131" t="n">
        <x:v>173</x:v>
      </x:c>
      <x:c r="B178" s="55" t="n">
        <x:f>A178*4</x:f>
        <x:v>692</x:v>
      </x:c>
      <x:c r="C178" s="102" t="n">
        <x:f>INDEX('기본 맵 및 CM3'!$Q$5:$Q$8,'요약'!$B$5)+INT(INDEX('기본 맵 및 CM3'!$K$5:$K$8,'요약'!$B$5)*A178/4096)</x:f>
        <x:v>1313</x:v>
      </x:c>
      <x:c r="D178" s="102" t="n">
        <x:f>IF(AND('요약'!$B$13=1,A178=0),0,C178)</x:f>
        <x:v>1313</x:v>
      </x:c>
      <x:c r="E178" s="102" t="n">
        <x:f>IF(A178=0,0,C178)</x:f>
        <x:v>1313</x:v>
      </x:c>
      <x:c r="F178" s="102" t="n">
        <x:f>C178-C177</x:f>
        <x:v>5</x:v>
      </x:c>
      <x:c r="G178" s="103" t="n">
        <x:f>D178*INDEX('기본 맵 및 CM3'!$D$5:$D$8,'요약'!$B$5)</x:f>
        <x:v>65650</x:v>
      </x:c>
    </x:row>
    <x:row r="179">
      <x:c r="A179" s="131" t="n">
        <x:v>174</x:v>
      </x:c>
      <x:c r="B179" s="55" t="n">
        <x:f>A179*4</x:f>
        <x:v>696</x:v>
      </x:c>
      <x:c r="C179" s="102" t="n">
        <x:f>INDEX('기본 맵 및 CM3'!$Q$5:$Q$8,'요약'!$B$5)+INT(INDEX('기본 맵 및 CM3'!$K$5:$K$8,'요약'!$B$5)*A179/4096)</x:f>
        <x:v>1318</x:v>
      </x:c>
      <x:c r="D179" s="102" t="n">
        <x:f>IF(AND('요약'!$B$13=1,A179=0),0,C179)</x:f>
        <x:v>1318</x:v>
      </x:c>
      <x:c r="E179" s="102" t="n">
        <x:f>IF(A179=0,0,C179)</x:f>
        <x:v>1318</x:v>
      </x:c>
      <x:c r="F179" s="102" t="n">
        <x:f>C179-C178</x:f>
        <x:v>5</x:v>
      </x:c>
      <x:c r="G179" s="103" t="n">
        <x:f>D179*INDEX('기본 맵 및 CM3'!$D$5:$D$8,'요약'!$B$5)</x:f>
        <x:v>65900</x:v>
      </x:c>
    </x:row>
    <x:row r="180">
      <x:c r="A180" s="131" t="n">
        <x:v>175</x:v>
      </x:c>
      <x:c r="B180" s="55" t="n">
        <x:f>A180*4</x:f>
        <x:v>700</x:v>
      </x:c>
      <x:c r="C180" s="102" t="n">
        <x:f>INDEX('기본 맵 및 CM3'!$Q$5:$Q$8,'요약'!$B$5)+INT(INDEX('기본 맵 및 CM3'!$K$5:$K$8,'요약'!$B$5)*A180/4096)</x:f>
        <x:v>1322</x:v>
      </x:c>
      <x:c r="D180" s="102" t="n">
        <x:f>IF(AND('요약'!$B$13=1,A180=0),0,C180)</x:f>
        <x:v>1322</x:v>
      </x:c>
      <x:c r="E180" s="102" t="n">
        <x:f>IF(A180=0,0,C180)</x:f>
        <x:v>1322</x:v>
      </x:c>
      <x:c r="F180" s="102" t="n">
        <x:f>C180-C179</x:f>
        <x:v>4</x:v>
      </x:c>
      <x:c r="G180" s="103" t="n">
        <x:f>D180*INDEX('기본 맵 및 CM3'!$D$5:$D$8,'요약'!$B$5)</x:f>
        <x:v>66100</x:v>
      </x:c>
    </x:row>
    <x:row r="181">
      <x:c r="A181" s="131" t="n">
        <x:v>176</x:v>
      </x:c>
      <x:c r="B181" s="55" t="n">
        <x:f>A181*4</x:f>
        <x:v>704</x:v>
      </x:c>
      <x:c r="C181" s="102" t="n">
        <x:f>INDEX('기본 맵 및 CM3'!$Q$5:$Q$8,'요약'!$B$5)+INT(INDEX('기본 맵 및 CM3'!$K$5:$K$8,'요약'!$B$5)*A181/4096)</x:f>
        <x:v>1327</x:v>
      </x:c>
      <x:c r="D181" s="102" t="n">
        <x:f>IF(AND('요약'!$B$13=1,A181=0),0,C181)</x:f>
        <x:v>1327</x:v>
      </x:c>
      <x:c r="E181" s="102" t="n">
        <x:f>IF(A181=0,0,C181)</x:f>
        <x:v>1327</x:v>
      </x:c>
      <x:c r="F181" s="102" t="n">
        <x:f>C181-C180</x:f>
        <x:v>5</x:v>
      </x:c>
      <x:c r="G181" s="103" t="n">
        <x:f>D181*INDEX('기본 맵 및 CM3'!$D$5:$D$8,'요약'!$B$5)</x:f>
        <x:v>66350</x:v>
      </x:c>
    </x:row>
    <x:row r="182">
      <x:c r="A182" s="131" t="n">
        <x:v>177</x:v>
      </x:c>
      <x:c r="B182" s="55" t="n">
        <x:f>A182*4</x:f>
        <x:v>708</x:v>
      </x:c>
      <x:c r="C182" s="102" t="n">
        <x:f>INDEX('기본 맵 및 CM3'!$Q$5:$Q$8,'요약'!$B$5)+INT(INDEX('기본 맵 및 CM3'!$K$5:$K$8,'요약'!$B$5)*A182/4096)</x:f>
        <x:v>1332</x:v>
      </x:c>
      <x:c r="D182" s="102" t="n">
        <x:f>IF(AND('요약'!$B$13=1,A182=0),0,C182)</x:f>
        <x:v>1332</x:v>
      </x:c>
      <x:c r="E182" s="102" t="n">
        <x:f>IF(A182=0,0,C182)</x:f>
        <x:v>1332</x:v>
      </x:c>
      <x:c r="F182" s="102" t="n">
        <x:f>C182-C181</x:f>
        <x:v>5</x:v>
      </x:c>
      <x:c r="G182" s="103" t="n">
        <x:f>D182*INDEX('기본 맵 및 CM3'!$D$5:$D$8,'요약'!$B$5)</x:f>
        <x:v>66600</x:v>
      </x:c>
    </x:row>
    <x:row r="183">
      <x:c r="A183" s="131" t="n">
        <x:v>178</x:v>
      </x:c>
      <x:c r="B183" s="55" t="n">
        <x:f>A183*4</x:f>
        <x:v>712</x:v>
      </x:c>
      <x:c r="C183" s="102" t="n">
        <x:f>INDEX('기본 맵 및 CM3'!$Q$5:$Q$8,'요약'!$B$5)+INT(INDEX('기본 맵 및 CM3'!$K$5:$K$8,'요약'!$B$5)*A183/4096)</x:f>
        <x:v>1337</x:v>
      </x:c>
      <x:c r="D183" s="102" t="n">
        <x:f>IF(AND('요약'!$B$13=1,A183=0),0,C183)</x:f>
        <x:v>1337</x:v>
      </x:c>
      <x:c r="E183" s="102" t="n">
        <x:f>IF(A183=0,0,C183)</x:f>
        <x:v>1337</x:v>
      </x:c>
      <x:c r="F183" s="102" t="n">
        <x:f>C183-C182</x:f>
        <x:v>5</x:v>
      </x:c>
      <x:c r="G183" s="103" t="n">
        <x:f>D183*INDEX('기본 맵 및 CM3'!$D$5:$D$8,'요약'!$B$5)</x:f>
        <x:v>66850</x:v>
      </x:c>
    </x:row>
    <x:row r="184">
      <x:c r="A184" s="131" t="n">
        <x:v>179</x:v>
      </x:c>
      <x:c r="B184" s="55" t="n">
        <x:f>A184*4</x:f>
        <x:v>716</x:v>
      </x:c>
      <x:c r="C184" s="102" t="n">
        <x:f>INDEX('기본 맵 및 CM3'!$Q$5:$Q$8,'요약'!$B$5)+INT(INDEX('기본 맵 및 CM3'!$K$5:$K$8,'요약'!$B$5)*A184/4096)</x:f>
        <x:v>1341</x:v>
      </x:c>
      <x:c r="D184" s="102" t="n">
        <x:f>IF(AND('요약'!$B$13=1,A184=0),0,C184)</x:f>
        <x:v>1341</x:v>
      </x:c>
      <x:c r="E184" s="102" t="n">
        <x:f>IF(A184=0,0,C184)</x:f>
        <x:v>1341</x:v>
      </x:c>
      <x:c r="F184" s="102" t="n">
        <x:f>C184-C183</x:f>
        <x:v>4</x:v>
      </x:c>
      <x:c r="G184" s="103" t="n">
        <x:f>D184*INDEX('기본 맵 및 CM3'!$D$5:$D$8,'요약'!$B$5)</x:f>
        <x:v>67050</x:v>
      </x:c>
    </x:row>
    <x:row r="185">
      <x:c r="A185" s="131" t="n">
        <x:v>180</x:v>
      </x:c>
      <x:c r="B185" s="55" t="n">
        <x:f>A185*4</x:f>
        <x:v>720</x:v>
      </x:c>
      <x:c r="C185" s="102" t="n">
        <x:f>INDEX('기본 맵 및 CM3'!$Q$5:$Q$8,'요약'!$B$5)+INT(INDEX('기본 맵 및 CM3'!$K$5:$K$8,'요약'!$B$5)*A185/4096)</x:f>
        <x:v>1346</x:v>
      </x:c>
      <x:c r="D185" s="102" t="n">
        <x:f>IF(AND('요약'!$B$13=1,A185=0),0,C185)</x:f>
        <x:v>1346</x:v>
      </x:c>
      <x:c r="E185" s="102" t="n">
        <x:f>IF(A185=0,0,C185)</x:f>
        <x:v>1346</x:v>
      </x:c>
      <x:c r="F185" s="102" t="n">
        <x:f>C185-C184</x:f>
        <x:v>5</x:v>
      </x:c>
      <x:c r="G185" s="103" t="n">
        <x:f>D185*INDEX('기본 맵 및 CM3'!$D$5:$D$8,'요약'!$B$5)</x:f>
        <x:v>67300</x:v>
      </x:c>
    </x:row>
    <x:row r="186">
      <x:c r="A186" s="131" t="n">
        <x:v>181</x:v>
      </x:c>
      <x:c r="B186" s="55" t="n">
        <x:f>A186*4</x:f>
        <x:v>724</x:v>
      </x:c>
      <x:c r="C186" s="102" t="n">
        <x:f>INDEX('기본 맵 및 CM3'!$Q$5:$Q$8,'요약'!$B$5)+INT(INDEX('기본 맵 및 CM3'!$K$5:$K$8,'요약'!$B$5)*A186/4096)</x:f>
        <x:v>1351</x:v>
      </x:c>
      <x:c r="D186" s="102" t="n">
        <x:f>IF(AND('요약'!$B$13=1,A186=0),0,C186)</x:f>
        <x:v>1351</x:v>
      </x:c>
      <x:c r="E186" s="102" t="n">
        <x:f>IF(A186=0,0,C186)</x:f>
        <x:v>1351</x:v>
      </x:c>
      <x:c r="F186" s="102" t="n">
        <x:f>C186-C185</x:f>
        <x:v>5</x:v>
      </x:c>
      <x:c r="G186" s="103" t="n">
        <x:f>D186*INDEX('기본 맵 및 CM3'!$D$5:$D$8,'요약'!$B$5)</x:f>
        <x:v>67550</x:v>
      </x:c>
    </x:row>
    <x:row r="187">
      <x:c r="A187" s="131" t="n">
        <x:v>182</x:v>
      </x:c>
      <x:c r="B187" s="55" t="n">
        <x:f>A187*4</x:f>
        <x:v>728</x:v>
      </x:c>
      <x:c r="C187" s="102" t="n">
        <x:f>INDEX('기본 맵 및 CM3'!$Q$5:$Q$8,'요약'!$B$5)+INT(INDEX('기본 맵 및 CM3'!$K$5:$K$8,'요약'!$B$5)*A187/4096)</x:f>
        <x:v>1356</x:v>
      </x:c>
      <x:c r="D187" s="102" t="n">
        <x:f>IF(AND('요약'!$B$13=1,A187=0),0,C187)</x:f>
        <x:v>1356</x:v>
      </x:c>
      <x:c r="E187" s="102" t="n">
        <x:f>IF(A187=0,0,C187)</x:f>
        <x:v>1356</x:v>
      </x:c>
      <x:c r="F187" s="102" t="n">
        <x:f>C187-C186</x:f>
        <x:v>5</x:v>
      </x:c>
      <x:c r="G187" s="103" t="n">
        <x:f>D187*INDEX('기본 맵 및 CM3'!$D$5:$D$8,'요약'!$B$5)</x:f>
        <x:v>67800</x:v>
      </x:c>
    </x:row>
    <x:row r="188">
      <x:c r="A188" s="131" t="n">
        <x:v>183</x:v>
      </x:c>
      <x:c r="B188" s="55" t="n">
        <x:f>A188*4</x:f>
        <x:v>732</x:v>
      </x:c>
      <x:c r="C188" s="102" t="n">
        <x:f>INDEX('기본 맵 및 CM3'!$Q$5:$Q$8,'요약'!$B$5)+INT(INDEX('기본 맵 및 CM3'!$K$5:$K$8,'요약'!$B$5)*A188/4096)</x:f>
        <x:v>1360</x:v>
      </x:c>
      <x:c r="D188" s="102" t="n">
        <x:f>IF(AND('요약'!$B$13=1,A188=0),0,C188)</x:f>
        <x:v>1360</x:v>
      </x:c>
      <x:c r="E188" s="102" t="n">
        <x:f>IF(A188=0,0,C188)</x:f>
        <x:v>1360</x:v>
      </x:c>
      <x:c r="F188" s="102" t="n">
        <x:f>C188-C187</x:f>
        <x:v>4</x:v>
      </x:c>
      <x:c r="G188" s="103" t="n">
        <x:f>D188*INDEX('기본 맵 및 CM3'!$D$5:$D$8,'요약'!$B$5)</x:f>
        <x:v>68000</x:v>
      </x:c>
    </x:row>
    <x:row r="189">
      <x:c r="A189" s="131" t="n">
        <x:v>184</x:v>
      </x:c>
      <x:c r="B189" s="55" t="n">
        <x:f>A189*4</x:f>
        <x:v>736</x:v>
      </x:c>
      <x:c r="C189" s="102" t="n">
        <x:f>INDEX('기본 맵 및 CM3'!$Q$5:$Q$8,'요약'!$B$5)+INT(INDEX('기본 맵 및 CM3'!$K$5:$K$8,'요약'!$B$5)*A189/4096)</x:f>
        <x:v>1365</x:v>
      </x:c>
      <x:c r="D189" s="102" t="n">
        <x:f>IF(AND('요약'!$B$13=1,A189=0),0,C189)</x:f>
        <x:v>1365</x:v>
      </x:c>
      <x:c r="E189" s="102" t="n">
        <x:f>IF(A189=0,0,C189)</x:f>
        <x:v>1365</x:v>
      </x:c>
      <x:c r="F189" s="102" t="n">
        <x:f>C189-C188</x:f>
        <x:v>5</x:v>
      </x:c>
      <x:c r="G189" s="103" t="n">
        <x:f>D189*INDEX('기본 맵 및 CM3'!$D$5:$D$8,'요약'!$B$5)</x:f>
        <x:v>68250</x:v>
      </x:c>
    </x:row>
    <x:row r="190">
      <x:c r="A190" s="131" t="n">
        <x:v>185</x:v>
      </x:c>
      <x:c r="B190" s="55" t="n">
        <x:f>A190*4</x:f>
        <x:v>740</x:v>
      </x:c>
      <x:c r="C190" s="102" t="n">
        <x:f>INDEX('기본 맵 및 CM3'!$Q$5:$Q$8,'요약'!$B$5)+INT(INDEX('기본 맵 및 CM3'!$K$5:$K$8,'요약'!$B$5)*A190/4096)</x:f>
        <x:v>1370</x:v>
      </x:c>
      <x:c r="D190" s="102" t="n">
        <x:f>IF(AND('요약'!$B$13=1,A190=0),0,C190)</x:f>
        <x:v>1370</x:v>
      </x:c>
      <x:c r="E190" s="102" t="n">
        <x:f>IF(A190=0,0,C190)</x:f>
        <x:v>1370</x:v>
      </x:c>
      <x:c r="F190" s="102" t="n">
        <x:f>C190-C189</x:f>
        <x:v>5</x:v>
      </x:c>
      <x:c r="G190" s="103" t="n">
        <x:f>D190*INDEX('기본 맵 및 CM3'!$D$5:$D$8,'요약'!$B$5)</x:f>
        <x:v>68500</x:v>
      </x:c>
    </x:row>
    <x:row r="191">
      <x:c r="A191" s="131" t="n">
        <x:v>186</x:v>
      </x:c>
      <x:c r="B191" s="55" t="n">
        <x:f>A191*4</x:f>
        <x:v>744</x:v>
      </x:c>
      <x:c r="C191" s="102" t="n">
        <x:f>INDEX('기본 맵 및 CM3'!$Q$5:$Q$8,'요약'!$B$5)+INT(INDEX('기본 맵 및 CM3'!$K$5:$K$8,'요약'!$B$5)*A191/4096)</x:f>
        <x:v>1374</x:v>
      </x:c>
      <x:c r="D191" s="102" t="n">
        <x:f>IF(AND('요약'!$B$13=1,A191=0),0,C191)</x:f>
        <x:v>1374</x:v>
      </x:c>
      <x:c r="E191" s="102" t="n">
        <x:f>IF(A191=0,0,C191)</x:f>
        <x:v>1374</x:v>
      </x:c>
      <x:c r="F191" s="102" t="n">
        <x:f>C191-C190</x:f>
        <x:v>4</x:v>
      </x:c>
      <x:c r="G191" s="103" t="n">
        <x:f>D191*INDEX('기본 맵 및 CM3'!$D$5:$D$8,'요약'!$B$5)</x:f>
        <x:v>68700</x:v>
      </x:c>
    </x:row>
    <x:row r="192">
      <x:c r="A192" s="131" t="n">
        <x:v>187</x:v>
      </x:c>
      <x:c r="B192" s="55" t="n">
        <x:f>A192*4</x:f>
        <x:v>748</x:v>
      </x:c>
      <x:c r="C192" s="102" t="n">
        <x:f>INDEX('기본 맵 및 CM3'!$Q$5:$Q$8,'요약'!$B$5)+INT(INDEX('기본 맵 및 CM3'!$K$5:$K$8,'요약'!$B$5)*A192/4096)</x:f>
        <x:v>1379</x:v>
      </x:c>
      <x:c r="D192" s="102" t="n">
        <x:f>IF(AND('요약'!$B$13=1,A192=0),0,C192)</x:f>
        <x:v>1379</x:v>
      </x:c>
      <x:c r="E192" s="102" t="n">
        <x:f>IF(A192=0,0,C192)</x:f>
        <x:v>1379</x:v>
      </x:c>
      <x:c r="F192" s="102" t="n">
        <x:f>C192-C191</x:f>
        <x:v>5</x:v>
      </x:c>
      <x:c r="G192" s="103" t="n">
        <x:f>D192*INDEX('기본 맵 및 CM3'!$D$5:$D$8,'요약'!$B$5)</x:f>
        <x:v>68950</x:v>
      </x:c>
    </x:row>
    <x:row r="193">
      <x:c r="A193" s="131" t="n">
        <x:v>188</x:v>
      </x:c>
      <x:c r="B193" s="55" t="n">
        <x:f>A193*4</x:f>
        <x:v>752</x:v>
      </x:c>
      <x:c r="C193" s="102" t="n">
        <x:f>INDEX('기본 맵 및 CM3'!$Q$5:$Q$8,'요약'!$B$5)+INT(INDEX('기본 맵 및 CM3'!$K$5:$K$8,'요약'!$B$5)*A193/4096)</x:f>
        <x:v>1384</x:v>
      </x:c>
      <x:c r="D193" s="102" t="n">
        <x:f>IF(AND('요약'!$B$13=1,A193=0),0,C193)</x:f>
        <x:v>1384</x:v>
      </x:c>
      <x:c r="E193" s="102" t="n">
        <x:f>IF(A193=0,0,C193)</x:f>
        <x:v>1384</x:v>
      </x:c>
      <x:c r="F193" s="102" t="n">
        <x:f>C193-C192</x:f>
        <x:v>5</x:v>
      </x:c>
      <x:c r="G193" s="103" t="n">
        <x:f>D193*INDEX('기본 맵 및 CM3'!$D$5:$D$8,'요약'!$B$5)</x:f>
        <x:v>69200</x:v>
      </x:c>
    </x:row>
    <x:row r="194">
      <x:c r="A194" s="131" t="n">
        <x:v>189</x:v>
      </x:c>
      <x:c r="B194" s="55" t="n">
        <x:f>A194*4</x:f>
        <x:v>756</x:v>
      </x:c>
      <x:c r="C194" s="102" t="n">
        <x:f>INDEX('기본 맵 및 CM3'!$Q$5:$Q$8,'요약'!$B$5)+INT(INDEX('기본 맵 및 CM3'!$K$5:$K$8,'요약'!$B$5)*A194/4096)</x:f>
        <x:v>1389</x:v>
      </x:c>
      <x:c r="D194" s="102" t="n">
        <x:f>IF(AND('요약'!$B$13=1,A194=0),0,C194)</x:f>
        <x:v>1389</x:v>
      </x:c>
      <x:c r="E194" s="102" t="n">
        <x:f>IF(A194=0,0,C194)</x:f>
        <x:v>1389</x:v>
      </x:c>
      <x:c r="F194" s="102" t="n">
        <x:f>C194-C193</x:f>
        <x:v>5</x:v>
      </x:c>
      <x:c r="G194" s="103" t="n">
        <x:f>D194*INDEX('기본 맵 및 CM3'!$D$5:$D$8,'요약'!$B$5)</x:f>
        <x:v>69450</x:v>
      </x:c>
    </x:row>
    <x:row r="195">
      <x:c r="A195" s="131" t="n">
        <x:v>190</x:v>
      </x:c>
      <x:c r="B195" s="55" t="n">
        <x:f>A195*4</x:f>
        <x:v>760</x:v>
      </x:c>
      <x:c r="C195" s="102" t="n">
        <x:f>INDEX('기본 맵 및 CM3'!$Q$5:$Q$8,'요약'!$B$5)+INT(INDEX('기본 맵 및 CM3'!$K$5:$K$8,'요약'!$B$5)*A195/4096)</x:f>
        <x:v>1393</x:v>
      </x:c>
      <x:c r="D195" s="102" t="n">
        <x:f>IF(AND('요약'!$B$13=1,A195=0),0,C195)</x:f>
        <x:v>1393</x:v>
      </x:c>
      <x:c r="E195" s="102" t="n">
        <x:f>IF(A195=0,0,C195)</x:f>
        <x:v>1393</x:v>
      </x:c>
      <x:c r="F195" s="102" t="n">
        <x:f>C195-C194</x:f>
        <x:v>4</x:v>
      </x:c>
      <x:c r="G195" s="103" t="n">
        <x:f>D195*INDEX('기본 맵 및 CM3'!$D$5:$D$8,'요약'!$B$5)</x:f>
        <x:v>69650</x:v>
      </x:c>
    </x:row>
    <x:row r="196">
      <x:c r="A196" s="131" t="n">
        <x:v>191</x:v>
      </x:c>
      <x:c r="B196" s="55" t="n">
        <x:f>A196*4</x:f>
        <x:v>764</x:v>
      </x:c>
      <x:c r="C196" s="102" t="n">
        <x:f>INDEX('기본 맵 및 CM3'!$Q$5:$Q$8,'요약'!$B$5)+INT(INDEX('기본 맵 및 CM3'!$K$5:$K$8,'요약'!$B$5)*A196/4096)</x:f>
        <x:v>1398</x:v>
      </x:c>
      <x:c r="D196" s="102" t="n">
        <x:f>IF(AND('요약'!$B$13=1,A196=0),0,C196)</x:f>
        <x:v>1398</x:v>
      </x:c>
      <x:c r="E196" s="102" t="n">
        <x:f>IF(A196=0,0,C196)</x:f>
        <x:v>1398</x:v>
      </x:c>
      <x:c r="F196" s="102" t="n">
        <x:f>C196-C195</x:f>
        <x:v>5</x:v>
      </x:c>
      <x:c r="G196" s="103" t="n">
        <x:f>D196*INDEX('기본 맵 및 CM3'!$D$5:$D$8,'요약'!$B$5)</x:f>
        <x:v>69900</x:v>
      </x:c>
    </x:row>
    <x:row r="197">
      <x:c r="A197" s="131" t="n">
        <x:v>192</x:v>
      </x:c>
      <x:c r="B197" s="55" t="n">
        <x:f>A197*4</x:f>
        <x:v>768</x:v>
      </x:c>
      <x:c r="C197" s="102" t="n">
        <x:f>INDEX('기본 맵 및 CM3'!$Q$5:$Q$8,'요약'!$B$5)+INT(INDEX('기본 맵 및 CM3'!$K$5:$K$8,'요약'!$B$5)*A197/4096)</x:f>
        <x:v>1403</x:v>
      </x:c>
      <x:c r="D197" s="102" t="n">
        <x:f>IF(AND('요약'!$B$13=1,A197=0),0,C197)</x:f>
        <x:v>1403</x:v>
      </x:c>
      <x:c r="E197" s="102" t="n">
        <x:f>IF(A197=0,0,C197)</x:f>
        <x:v>1403</x:v>
      </x:c>
      <x:c r="F197" s="102" t="n">
        <x:f>C197-C196</x:f>
        <x:v>5</x:v>
      </x:c>
      <x:c r="G197" s="103" t="n">
        <x:f>D197*INDEX('기본 맵 및 CM3'!$D$5:$D$8,'요약'!$B$5)</x:f>
        <x:v>70150</x:v>
      </x:c>
    </x:row>
    <x:row r="198">
      <x:c r="A198" s="131" t="n">
        <x:v>193</x:v>
      </x:c>
      <x:c r="B198" s="55" t="n">
        <x:f>A198*4</x:f>
        <x:v>772</x:v>
      </x:c>
      <x:c r="C198" s="102" t="n">
        <x:f>INDEX('기본 맵 및 CM3'!$Q$5:$Q$8,'요약'!$B$5)+INT(INDEX('기본 맵 및 CM3'!$K$5:$K$8,'요약'!$B$5)*A198/4096)</x:f>
        <x:v>1407</x:v>
      </x:c>
      <x:c r="D198" s="102" t="n">
        <x:f>IF(AND('요약'!$B$13=1,A198=0),0,C198)</x:f>
        <x:v>1407</x:v>
      </x:c>
      <x:c r="E198" s="102" t="n">
        <x:f>IF(A198=0,0,C198)</x:f>
        <x:v>1407</x:v>
      </x:c>
      <x:c r="F198" s="102" t="n">
        <x:f>C198-C197</x:f>
        <x:v>4</x:v>
      </x:c>
      <x:c r="G198" s="103" t="n">
        <x:f>D198*INDEX('기본 맵 및 CM3'!$D$5:$D$8,'요약'!$B$5)</x:f>
        <x:v>70350</x:v>
      </x:c>
    </x:row>
    <x:row r="199">
      <x:c r="A199" s="131" t="n">
        <x:v>194</x:v>
      </x:c>
      <x:c r="B199" s="55" t="n">
        <x:f>A199*4</x:f>
        <x:v>776</x:v>
      </x:c>
      <x:c r="C199" s="102" t="n">
        <x:f>INDEX('기본 맵 및 CM3'!$Q$5:$Q$8,'요약'!$B$5)+INT(INDEX('기본 맵 및 CM3'!$K$5:$K$8,'요약'!$B$5)*A199/4096)</x:f>
        <x:v>1412</x:v>
      </x:c>
      <x:c r="D199" s="102" t="n">
        <x:f>IF(AND('요약'!$B$13=1,A199=0),0,C199)</x:f>
        <x:v>1412</x:v>
      </x:c>
      <x:c r="E199" s="102" t="n">
        <x:f>IF(A199=0,0,C199)</x:f>
        <x:v>1412</x:v>
      </x:c>
      <x:c r="F199" s="102" t="n">
        <x:f>C199-C198</x:f>
        <x:v>5</x:v>
      </x:c>
      <x:c r="G199" s="103" t="n">
        <x:f>D199*INDEX('기본 맵 및 CM3'!$D$5:$D$8,'요약'!$B$5)</x:f>
        <x:v>70600</x:v>
      </x:c>
    </x:row>
    <x:row r="200">
      <x:c r="A200" s="131" t="n">
        <x:v>195</x:v>
      </x:c>
      <x:c r="B200" s="55" t="n">
        <x:f>A200*4</x:f>
        <x:v>780</x:v>
      </x:c>
      <x:c r="C200" s="102" t="n">
        <x:f>INDEX('기본 맵 및 CM3'!$Q$5:$Q$8,'요약'!$B$5)+INT(INDEX('기본 맵 및 CM3'!$K$5:$K$8,'요약'!$B$5)*A200/4096)</x:f>
        <x:v>1417</x:v>
      </x:c>
      <x:c r="D200" s="102" t="n">
        <x:f>IF(AND('요약'!$B$13=1,A200=0),0,C200)</x:f>
        <x:v>1417</x:v>
      </x:c>
      <x:c r="E200" s="102" t="n">
        <x:f>IF(A200=0,0,C200)</x:f>
        <x:v>1417</x:v>
      </x:c>
      <x:c r="F200" s="102" t="n">
        <x:f>C200-C199</x:f>
        <x:v>5</x:v>
      </x:c>
      <x:c r="G200" s="103" t="n">
        <x:f>D200*INDEX('기본 맵 및 CM3'!$D$5:$D$8,'요약'!$B$5)</x:f>
        <x:v>70850</x:v>
      </x:c>
    </x:row>
    <x:row r="201">
      <x:c r="A201" s="131" t="n">
        <x:v>196</x:v>
      </x:c>
      <x:c r="B201" s="55" t="n">
        <x:f>A201*4</x:f>
        <x:v>784</x:v>
      </x:c>
      <x:c r="C201" s="102" t="n">
        <x:f>INDEX('기본 맵 및 CM3'!$Q$5:$Q$8,'요약'!$B$5)+INT(INDEX('기본 맵 및 CM3'!$K$5:$K$8,'요약'!$B$5)*A201/4096)</x:f>
        <x:v>1422</x:v>
      </x:c>
      <x:c r="D201" s="102" t="n">
        <x:f>IF(AND('요약'!$B$13=1,A201=0),0,C201)</x:f>
        <x:v>1422</x:v>
      </x:c>
      <x:c r="E201" s="102" t="n">
        <x:f>IF(A201=0,0,C201)</x:f>
        <x:v>1422</x:v>
      </x:c>
      <x:c r="F201" s="102" t="n">
        <x:f>C201-C200</x:f>
        <x:v>5</x:v>
      </x:c>
      <x:c r="G201" s="103" t="n">
        <x:f>D201*INDEX('기본 맵 및 CM3'!$D$5:$D$8,'요약'!$B$5)</x:f>
        <x:v>71100</x:v>
      </x:c>
    </x:row>
    <x:row r="202">
      <x:c r="A202" s="131" t="n">
        <x:v>197</x:v>
      </x:c>
      <x:c r="B202" s="55" t="n">
        <x:f>A202*4</x:f>
        <x:v>788</x:v>
      </x:c>
      <x:c r="C202" s="102" t="n">
        <x:f>INDEX('기본 맵 및 CM3'!$Q$5:$Q$8,'요약'!$B$5)+INT(INDEX('기본 맵 및 CM3'!$K$5:$K$8,'요약'!$B$5)*A202/4096)</x:f>
        <x:v>1426</x:v>
      </x:c>
      <x:c r="D202" s="102" t="n">
        <x:f>IF(AND('요약'!$B$13=1,A202=0),0,C202)</x:f>
        <x:v>1426</x:v>
      </x:c>
      <x:c r="E202" s="102" t="n">
        <x:f>IF(A202=0,0,C202)</x:f>
        <x:v>1426</x:v>
      </x:c>
      <x:c r="F202" s="102" t="n">
        <x:f>C202-C201</x:f>
        <x:v>4</x:v>
      </x:c>
      <x:c r="G202" s="103" t="n">
        <x:f>D202*INDEX('기본 맵 및 CM3'!$D$5:$D$8,'요약'!$B$5)</x:f>
        <x:v>71300</x:v>
      </x:c>
    </x:row>
    <x:row r="203">
      <x:c r="A203" s="131" t="n">
        <x:v>198</x:v>
      </x:c>
      <x:c r="B203" s="55" t="n">
        <x:f>A203*4</x:f>
        <x:v>792</x:v>
      </x:c>
      <x:c r="C203" s="102" t="n">
        <x:f>INDEX('기본 맵 및 CM3'!$Q$5:$Q$8,'요약'!$B$5)+INT(INDEX('기본 맵 및 CM3'!$K$5:$K$8,'요약'!$B$5)*A203/4096)</x:f>
        <x:v>1431</x:v>
      </x:c>
      <x:c r="D203" s="102" t="n">
        <x:f>IF(AND('요약'!$B$13=1,A203=0),0,C203)</x:f>
        <x:v>1431</x:v>
      </x:c>
      <x:c r="E203" s="102" t="n">
        <x:f>IF(A203=0,0,C203)</x:f>
        <x:v>1431</x:v>
      </x:c>
      <x:c r="F203" s="102" t="n">
        <x:f>C203-C202</x:f>
        <x:v>5</x:v>
      </x:c>
      <x:c r="G203" s="103" t="n">
        <x:f>D203*INDEX('기본 맵 및 CM3'!$D$5:$D$8,'요약'!$B$5)</x:f>
        <x:v>71550</x:v>
      </x:c>
    </x:row>
    <x:row r="204">
      <x:c r="A204" s="131" t="n">
        <x:v>199</x:v>
      </x:c>
      <x:c r="B204" s="55" t="n">
        <x:f>A204*4</x:f>
        <x:v>796</x:v>
      </x:c>
      <x:c r="C204" s="102" t="n">
        <x:f>INDEX('기본 맵 및 CM3'!$Q$5:$Q$8,'요약'!$B$5)+INT(INDEX('기본 맵 및 CM3'!$K$5:$K$8,'요약'!$B$5)*A204/4096)</x:f>
        <x:v>1436</x:v>
      </x:c>
      <x:c r="D204" s="102" t="n">
        <x:f>IF(AND('요약'!$B$13=1,A204=0),0,C204)</x:f>
        <x:v>1436</x:v>
      </x:c>
      <x:c r="E204" s="102" t="n">
        <x:f>IF(A204=0,0,C204)</x:f>
        <x:v>1436</x:v>
      </x:c>
      <x:c r="F204" s="102" t="n">
        <x:f>C204-C203</x:f>
        <x:v>5</x:v>
      </x:c>
      <x:c r="G204" s="103" t="n">
        <x:f>D204*INDEX('기본 맵 및 CM3'!$D$5:$D$8,'요약'!$B$5)</x:f>
        <x:v>71800</x:v>
      </x:c>
    </x:row>
    <x:row r="205">
      <x:c r="A205" s="131" t="n">
        <x:v>200</x:v>
      </x:c>
      <x:c r="B205" s="55" t="n">
        <x:f>A205*4</x:f>
        <x:v>800</x:v>
      </x:c>
      <x:c r="C205" s="102" t="n">
        <x:f>INDEX('기본 맵 및 CM3'!$Q$5:$Q$8,'요약'!$B$5)+INT(INDEX('기본 맵 및 CM3'!$K$5:$K$8,'요약'!$B$5)*A205/4096)</x:f>
        <x:v>1440</x:v>
      </x:c>
      <x:c r="D205" s="102" t="n">
        <x:f>IF(AND('요약'!$B$13=1,A205=0),0,C205)</x:f>
        <x:v>1440</x:v>
      </x:c>
      <x:c r="E205" s="102" t="n">
        <x:f>IF(A205=0,0,C205)</x:f>
        <x:v>1440</x:v>
      </x:c>
      <x:c r="F205" s="102" t="n">
        <x:f>C205-C204</x:f>
        <x:v>4</x:v>
      </x:c>
      <x:c r="G205" s="103" t="n">
        <x:f>D205*INDEX('기본 맵 및 CM3'!$D$5:$D$8,'요약'!$B$5)</x:f>
        <x:v>72000</x:v>
      </x:c>
    </x:row>
    <x:row r="206">
      <x:c r="A206" s="131" t="n">
        <x:v>201</x:v>
      </x:c>
      <x:c r="B206" s="55" t="n">
        <x:f>A206*4</x:f>
        <x:v>804</x:v>
      </x:c>
      <x:c r="C206" s="102" t="n">
        <x:f>INDEX('기본 맵 및 CM3'!$Q$5:$Q$8,'요약'!$B$5)+INT(INDEX('기본 맵 및 CM3'!$K$5:$K$8,'요약'!$B$5)*A206/4096)</x:f>
        <x:v>1445</x:v>
      </x:c>
      <x:c r="D206" s="102" t="n">
        <x:f>IF(AND('요약'!$B$13=1,A206=0),0,C206)</x:f>
        <x:v>1445</x:v>
      </x:c>
      <x:c r="E206" s="102" t="n">
        <x:f>IF(A206=0,0,C206)</x:f>
        <x:v>1445</x:v>
      </x:c>
      <x:c r="F206" s="102" t="n">
        <x:f>C206-C205</x:f>
        <x:v>5</x:v>
      </x:c>
      <x:c r="G206" s="103" t="n">
        <x:f>D206*INDEX('기본 맵 및 CM3'!$D$5:$D$8,'요약'!$B$5)</x:f>
        <x:v>72250</x:v>
      </x:c>
    </x:row>
    <x:row r="207">
      <x:c r="A207" s="131" t="n">
        <x:v>202</x:v>
      </x:c>
      <x:c r="B207" s="55" t="n">
        <x:f>A207*4</x:f>
        <x:v>808</x:v>
      </x:c>
      <x:c r="C207" s="102" t="n">
        <x:f>INDEX('기본 맵 및 CM3'!$Q$5:$Q$8,'요약'!$B$5)+INT(INDEX('기본 맵 및 CM3'!$K$5:$K$8,'요약'!$B$5)*A207/4096)</x:f>
        <x:v>1450</x:v>
      </x:c>
      <x:c r="D207" s="102" t="n">
        <x:f>IF(AND('요약'!$B$13=1,A207=0),0,C207)</x:f>
        <x:v>1450</x:v>
      </x:c>
      <x:c r="E207" s="102" t="n">
        <x:f>IF(A207=0,0,C207)</x:f>
        <x:v>1450</x:v>
      </x:c>
      <x:c r="F207" s="102" t="n">
        <x:f>C207-C206</x:f>
        <x:v>5</x:v>
      </x:c>
      <x:c r="G207" s="103" t="n">
        <x:f>D207*INDEX('기본 맵 및 CM3'!$D$5:$D$8,'요약'!$B$5)</x:f>
        <x:v>72500</x:v>
      </x:c>
    </x:row>
    <x:row r="208">
      <x:c r="A208" s="131" t="n">
        <x:v>203</x:v>
      </x:c>
      <x:c r="B208" s="55" t="n">
        <x:f>A208*4</x:f>
        <x:v>812</x:v>
      </x:c>
      <x:c r="C208" s="102" t="n">
        <x:f>INDEX('기본 맵 및 CM3'!$Q$5:$Q$8,'요약'!$B$5)+INT(INDEX('기본 맵 및 CM3'!$K$5:$K$8,'요약'!$B$5)*A208/4096)</x:f>
        <x:v>1455</x:v>
      </x:c>
      <x:c r="D208" s="102" t="n">
        <x:f>IF(AND('요약'!$B$13=1,A208=0),0,C208)</x:f>
        <x:v>1455</x:v>
      </x:c>
      <x:c r="E208" s="102" t="n">
        <x:f>IF(A208=0,0,C208)</x:f>
        <x:v>1455</x:v>
      </x:c>
      <x:c r="F208" s="102" t="n">
        <x:f>C208-C207</x:f>
        <x:v>5</x:v>
      </x:c>
      <x:c r="G208" s="103" t="n">
        <x:f>D208*INDEX('기본 맵 및 CM3'!$D$5:$D$8,'요약'!$B$5)</x:f>
        <x:v>72750</x:v>
      </x:c>
    </x:row>
    <x:row r="209">
      <x:c r="A209" s="131" t="n">
        <x:v>204</x:v>
      </x:c>
      <x:c r="B209" s="55" t="n">
        <x:f>A209*4</x:f>
        <x:v>816</x:v>
      </x:c>
      <x:c r="C209" s="102" t="n">
        <x:f>INDEX('기본 맵 및 CM3'!$Q$5:$Q$8,'요약'!$B$5)+INT(INDEX('기본 맵 및 CM3'!$K$5:$K$8,'요약'!$B$5)*A209/4096)</x:f>
        <x:v>1459</x:v>
      </x:c>
      <x:c r="D209" s="102" t="n">
        <x:f>IF(AND('요약'!$B$13=1,A209=0),0,C209)</x:f>
        <x:v>1459</x:v>
      </x:c>
      <x:c r="E209" s="102" t="n">
        <x:f>IF(A209=0,0,C209)</x:f>
        <x:v>1459</x:v>
      </x:c>
      <x:c r="F209" s="102" t="n">
        <x:f>C209-C208</x:f>
        <x:v>4</x:v>
      </x:c>
      <x:c r="G209" s="103" t="n">
        <x:f>D209*INDEX('기본 맵 및 CM3'!$D$5:$D$8,'요약'!$B$5)</x:f>
        <x:v>72950</x:v>
      </x:c>
    </x:row>
    <x:row r="210">
      <x:c r="A210" s="131" t="n">
        <x:v>205</x:v>
      </x:c>
      <x:c r="B210" s="55" t="n">
        <x:f>A210*4</x:f>
        <x:v>820</x:v>
      </x:c>
      <x:c r="C210" s="102" t="n">
        <x:f>INDEX('기본 맵 및 CM3'!$Q$5:$Q$8,'요약'!$B$5)+INT(INDEX('기본 맵 및 CM3'!$K$5:$K$8,'요약'!$B$5)*A210/4096)</x:f>
        <x:v>1464</x:v>
      </x:c>
      <x:c r="D210" s="102" t="n">
        <x:f>IF(AND('요약'!$B$13=1,A210=0),0,C210)</x:f>
        <x:v>1464</x:v>
      </x:c>
      <x:c r="E210" s="102" t="n">
        <x:f>IF(A210=0,0,C210)</x:f>
        <x:v>1464</x:v>
      </x:c>
      <x:c r="F210" s="102" t="n">
        <x:f>C210-C209</x:f>
        <x:v>5</x:v>
      </x:c>
      <x:c r="G210" s="103" t="n">
        <x:f>D210*INDEX('기본 맵 및 CM3'!$D$5:$D$8,'요약'!$B$5)</x:f>
        <x:v>73200</x:v>
      </x:c>
    </x:row>
    <x:row r="211">
      <x:c r="A211" s="131" t="n">
        <x:v>206</x:v>
      </x:c>
      <x:c r="B211" s="55" t="n">
        <x:f>A211*4</x:f>
        <x:v>824</x:v>
      </x:c>
      <x:c r="C211" s="102" t="n">
        <x:f>INDEX('기본 맵 및 CM3'!$Q$5:$Q$8,'요약'!$B$5)+INT(INDEX('기본 맵 및 CM3'!$K$5:$K$8,'요약'!$B$5)*A211/4096)</x:f>
        <x:v>1469</x:v>
      </x:c>
      <x:c r="D211" s="102" t="n">
        <x:f>IF(AND('요약'!$B$13=1,A211=0),0,C211)</x:f>
        <x:v>1469</x:v>
      </x:c>
      <x:c r="E211" s="102" t="n">
        <x:f>IF(A211=0,0,C211)</x:f>
        <x:v>1469</x:v>
      </x:c>
      <x:c r="F211" s="102" t="n">
        <x:f>C211-C210</x:f>
        <x:v>5</x:v>
      </x:c>
      <x:c r="G211" s="103" t="n">
        <x:f>D211*INDEX('기본 맵 및 CM3'!$D$5:$D$8,'요약'!$B$5)</x:f>
        <x:v>73450</x:v>
      </x:c>
    </x:row>
    <x:row r="212">
      <x:c r="A212" s="131" t="n">
        <x:v>207</x:v>
      </x:c>
      <x:c r="B212" s="55" t="n">
        <x:f>A212*4</x:f>
        <x:v>828</x:v>
      </x:c>
      <x:c r="C212" s="102" t="n">
        <x:f>INDEX('기본 맵 및 CM3'!$Q$5:$Q$8,'요약'!$B$5)+INT(INDEX('기본 맵 및 CM3'!$K$5:$K$8,'요약'!$B$5)*A212/4096)</x:f>
        <x:v>1474</x:v>
      </x:c>
      <x:c r="D212" s="102" t="n">
        <x:f>IF(AND('요약'!$B$13=1,A212=0),0,C212)</x:f>
        <x:v>1474</x:v>
      </x:c>
      <x:c r="E212" s="102" t="n">
        <x:f>IF(A212=0,0,C212)</x:f>
        <x:v>1474</x:v>
      </x:c>
      <x:c r="F212" s="102" t="n">
        <x:f>C212-C211</x:f>
        <x:v>5</x:v>
      </x:c>
      <x:c r="G212" s="103" t="n">
        <x:f>D212*INDEX('기본 맵 및 CM3'!$D$5:$D$8,'요약'!$B$5)</x:f>
        <x:v>73700</x:v>
      </x:c>
    </x:row>
    <x:row r="213">
      <x:c r="A213" s="131" t="n">
        <x:v>208</x:v>
      </x:c>
      <x:c r="B213" s="55" t="n">
        <x:f>A213*4</x:f>
        <x:v>832</x:v>
      </x:c>
      <x:c r="C213" s="102" t="n">
        <x:f>INDEX('기본 맵 및 CM3'!$Q$5:$Q$8,'요약'!$B$5)+INT(INDEX('기본 맵 및 CM3'!$K$5:$K$8,'요약'!$B$5)*A213/4096)</x:f>
        <x:v>1478</x:v>
      </x:c>
      <x:c r="D213" s="102" t="n">
        <x:f>IF(AND('요약'!$B$13=1,A213=0),0,C213)</x:f>
        <x:v>1478</x:v>
      </x:c>
      <x:c r="E213" s="102" t="n">
        <x:f>IF(A213=0,0,C213)</x:f>
        <x:v>1478</x:v>
      </x:c>
      <x:c r="F213" s="102" t="n">
        <x:f>C213-C212</x:f>
        <x:v>4</x:v>
      </x:c>
      <x:c r="G213" s="103" t="n">
        <x:f>D213*INDEX('기본 맵 및 CM3'!$D$5:$D$8,'요약'!$B$5)</x:f>
        <x:v>73900</x:v>
      </x:c>
    </x:row>
    <x:row r="214">
      <x:c r="A214" s="131" t="n">
        <x:v>209</x:v>
      </x:c>
      <x:c r="B214" s="55" t="n">
        <x:f>A214*4</x:f>
        <x:v>836</x:v>
      </x:c>
      <x:c r="C214" s="102" t="n">
        <x:f>INDEX('기본 맵 및 CM3'!$Q$5:$Q$8,'요약'!$B$5)+INT(INDEX('기본 맵 및 CM3'!$K$5:$K$8,'요약'!$B$5)*A214/4096)</x:f>
        <x:v>1483</x:v>
      </x:c>
      <x:c r="D214" s="102" t="n">
        <x:f>IF(AND('요약'!$B$13=1,A214=0),0,C214)</x:f>
        <x:v>1483</x:v>
      </x:c>
      <x:c r="E214" s="102" t="n">
        <x:f>IF(A214=0,0,C214)</x:f>
        <x:v>1483</x:v>
      </x:c>
      <x:c r="F214" s="102" t="n">
        <x:f>C214-C213</x:f>
        <x:v>5</x:v>
      </x:c>
      <x:c r="G214" s="103" t="n">
        <x:f>D214*INDEX('기본 맵 및 CM3'!$D$5:$D$8,'요약'!$B$5)</x:f>
        <x:v>74150</x:v>
      </x:c>
    </x:row>
    <x:row r="215">
      <x:c r="A215" s="131" t="n">
        <x:v>210</x:v>
      </x:c>
      <x:c r="B215" s="55" t="n">
        <x:f>A215*4</x:f>
        <x:v>840</x:v>
      </x:c>
      <x:c r="C215" s="102" t="n">
        <x:f>INDEX('기본 맵 및 CM3'!$Q$5:$Q$8,'요약'!$B$5)+INT(INDEX('기본 맵 및 CM3'!$K$5:$K$8,'요약'!$B$5)*A215/4096)</x:f>
        <x:v>1488</x:v>
      </x:c>
      <x:c r="D215" s="102" t="n">
        <x:f>IF(AND('요약'!$B$13=1,A215=0),0,C215)</x:f>
        <x:v>1488</x:v>
      </x:c>
      <x:c r="E215" s="102" t="n">
        <x:f>IF(A215=0,0,C215)</x:f>
        <x:v>1488</x:v>
      </x:c>
      <x:c r="F215" s="102" t="n">
        <x:f>C215-C214</x:f>
        <x:v>5</x:v>
      </x:c>
      <x:c r="G215" s="103" t="n">
        <x:f>D215*INDEX('기본 맵 및 CM3'!$D$5:$D$8,'요약'!$B$5)</x:f>
        <x:v>74400</x:v>
      </x:c>
    </x:row>
    <x:row r="216">
      <x:c r="A216" s="131" t="n">
        <x:v>211</x:v>
      </x:c>
      <x:c r="B216" s="55" t="n">
        <x:f>A216*4</x:f>
        <x:v>844</x:v>
      </x:c>
      <x:c r="C216" s="102" t="n">
        <x:f>INDEX('기본 맵 및 CM3'!$Q$5:$Q$8,'요약'!$B$5)+INT(INDEX('기본 맵 및 CM3'!$K$5:$K$8,'요약'!$B$5)*A216/4096)</x:f>
        <x:v>1492</x:v>
      </x:c>
      <x:c r="D216" s="102" t="n">
        <x:f>IF(AND('요약'!$B$13=1,A216=0),0,C216)</x:f>
        <x:v>1492</x:v>
      </x:c>
      <x:c r="E216" s="102" t="n">
        <x:f>IF(A216=0,0,C216)</x:f>
        <x:v>1492</x:v>
      </x:c>
      <x:c r="F216" s="102" t="n">
        <x:f>C216-C215</x:f>
        <x:v>4</x:v>
      </x:c>
      <x:c r="G216" s="103" t="n">
        <x:f>D216*INDEX('기본 맵 및 CM3'!$D$5:$D$8,'요약'!$B$5)</x:f>
        <x:v>74600</x:v>
      </x:c>
    </x:row>
    <x:row r="217">
      <x:c r="A217" s="131" t="n">
        <x:v>212</x:v>
      </x:c>
      <x:c r="B217" s="55" t="n">
        <x:f>A217*4</x:f>
        <x:v>848</x:v>
      </x:c>
      <x:c r="C217" s="102" t="n">
        <x:f>INDEX('기본 맵 및 CM3'!$Q$5:$Q$8,'요약'!$B$5)+INT(INDEX('기본 맵 및 CM3'!$K$5:$K$8,'요약'!$B$5)*A217/4096)</x:f>
        <x:v>1497</x:v>
      </x:c>
      <x:c r="D217" s="102" t="n">
        <x:f>IF(AND('요약'!$B$13=1,A217=0),0,C217)</x:f>
        <x:v>1497</x:v>
      </x:c>
      <x:c r="E217" s="102" t="n">
        <x:f>IF(A217=0,0,C217)</x:f>
        <x:v>1497</x:v>
      </x:c>
      <x:c r="F217" s="102" t="n">
        <x:f>C217-C216</x:f>
        <x:v>5</x:v>
      </x:c>
      <x:c r="G217" s="103" t="n">
        <x:f>D217*INDEX('기본 맵 및 CM3'!$D$5:$D$8,'요약'!$B$5)</x:f>
        <x:v>74850</x:v>
      </x:c>
    </x:row>
    <x:row r="218">
      <x:c r="A218" s="131" t="n">
        <x:v>213</x:v>
      </x:c>
      <x:c r="B218" s="55" t="n">
        <x:f>A218*4</x:f>
        <x:v>852</x:v>
      </x:c>
      <x:c r="C218" s="102" t="n">
        <x:f>INDEX('기본 맵 및 CM3'!$Q$5:$Q$8,'요약'!$B$5)+INT(INDEX('기본 맵 및 CM3'!$K$5:$K$8,'요약'!$B$5)*A218/4096)</x:f>
        <x:v>1502</x:v>
      </x:c>
      <x:c r="D218" s="102" t="n">
        <x:f>IF(AND('요약'!$B$13=1,A218=0),0,C218)</x:f>
        <x:v>1502</x:v>
      </x:c>
      <x:c r="E218" s="102" t="n">
        <x:f>IF(A218=0,0,C218)</x:f>
        <x:v>1502</x:v>
      </x:c>
      <x:c r="F218" s="102" t="n">
        <x:f>C218-C217</x:f>
        <x:v>5</x:v>
      </x:c>
      <x:c r="G218" s="103" t="n">
        <x:f>D218*INDEX('기본 맵 및 CM3'!$D$5:$D$8,'요약'!$B$5)</x:f>
        <x:v>75100</x:v>
      </x:c>
    </x:row>
    <x:row r="219">
      <x:c r="A219" s="131" t="n">
        <x:v>214</x:v>
      </x:c>
      <x:c r="B219" s="55" t="n">
        <x:f>A219*4</x:f>
        <x:v>856</x:v>
      </x:c>
      <x:c r="C219" s="102" t="n">
        <x:f>INDEX('기본 맵 및 CM3'!$Q$5:$Q$8,'요약'!$B$5)+INT(INDEX('기본 맵 및 CM3'!$K$5:$K$8,'요약'!$B$5)*A219/4096)</x:f>
        <x:v>1507</x:v>
      </x:c>
      <x:c r="D219" s="102" t="n">
        <x:f>IF(AND('요약'!$B$13=1,A219=0),0,C219)</x:f>
        <x:v>1507</x:v>
      </x:c>
      <x:c r="E219" s="102" t="n">
        <x:f>IF(A219=0,0,C219)</x:f>
        <x:v>1507</x:v>
      </x:c>
      <x:c r="F219" s="102" t="n">
        <x:f>C219-C218</x:f>
        <x:v>5</x:v>
      </x:c>
      <x:c r="G219" s="103" t="n">
        <x:f>D219*INDEX('기본 맵 및 CM3'!$D$5:$D$8,'요약'!$B$5)</x:f>
        <x:v>75350</x:v>
      </x:c>
    </x:row>
    <x:row r="220">
      <x:c r="A220" s="131" t="n">
        <x:v>215</x:v>
      </x:c>
      <x:c r="B220" s="55" t="n">
        <x:f>A220*4</x:f>
        <x:v>860</x:v>
      </x:c>
      <x:c r="C220" s="102" t="n">
        <x:f>INDEX('기본 맵 및 CM3'!$Q$5:$Q$8,'요약'!$B$5)+INT(INDEX('기본 맵 및 CM3'!$K$5:$K$8,'요약'!$B$5)*A220/4096)</x:f>
        <x:v>1511</x:v>
      </x:c>
      <x:c r="D220" s="102" t="n">
        <x:f>IF(AND('요약'!$B$13=1,A220=0),0,C220)</x:f>
        <x:v>1511</x:v>
      </x:c>
      <x:c r="E220" s="102" t="n">
        <x:f>IF(A220=0,0,C220)</x:f>
        <x:v>1511</x:v>
      </x:c>
      <x:c r="F220" s="102" t="n">
        <x:f>C220-C219</x:f>
        <x:v>4</x:v>
      </x:c>
      <x:c r="G220" s="103" t="n">
        <x:f>D220*INDEX('기본 맵 및 CM3'!$D$5:$D$8,'요약'!$B$5)</x:f>
        <x:v>75550</x:v>
      </x:c>
    </x:row>
    <x:row r="221">
      <x:c r="A221" s="131" t="n">
        <x:v>216</x:v>
      </x:c>
      <x:c r="B221" s="55" t="n">
        <x:f>A221*4</x:f>
        <x:v>864</x:v>
      </x:c>
      <x:c r="C221" s="102" t="n">
        <x:f>INDEX('기본 맵 및 CM3'!$Q$5:$Q$8,'요약'!$B$5)+INT(INDEX('기본 맵 및 CM3'!$K$5:$K$8,'요약'!$B$5)*A221/4096)</x:f>
        <x:v>1516</x:v>
      </x:c>
      <x:c r="D221" s="102" t="n">
        <x:f>IF(AND('요약'!$B$13=1,A221=0),0,C221)</x:f>
        <x:v>1516</x:v>
      </x:c>
      <x:c r="E221" s="102" t="n">
        <x:f>IF(A221=0,0,C221)</x:f>
        <x:v>1516</x:v>
      </x:c>
      <x:c r="F221" s="102" t="n">
        <x:f>C221-C220</x:f>
        <x:v>5</x:v>
      </x:c>
      <x:c r="G221" s="103" t="n">
        <x:f>D221*INDEX('기본 맵 및 CM3'!$D$5:$D$8,'요약'!$B$5)</x:f>
        <x:v>75800</x:v>
      </x:c>
    </x:row>
    <x:row r="222">
      <x:c r="A222" s="131" t="n">
        <x:v>217</x:v>
      </x:c>
      <x:c r="B222" s="55" t="n">
        <x:f>A222*4</x:f>
        <x:v>868</x:v>
      </x:c>
      <x:c r="C222" s="102" t="n">
        <x:f>INDEX('기본 맵 및 CM3'!$Q$5:$Q$8,'요약'!$B$5)+INT(INDEX('기본 맵 및 CM3'!$K$5:$K$8,'요약'!$B$5)*A222/4096)</x:f>
        <x:v>1521</x:v>
      </x:c>
      <x:c r="D222" s="102" t="n">
        <x:f>IF(AND('요약'!$B$13=1,A222=0),0,C222)</x:f>
        <x:v>1521</x:v>
      </x:c>
      <x:c r="E222" s="102" t="n">
        <x:f>IF(A222=0,0,C222)</x:f>
        <x:v>1521</x:v>
      </x:c>
      <x:c r="F222" s="102" t="n">
        <x:f>C222-C221</x:f>
        <x:v>5</x:v>
      </x:c>
      <x:c r="G222" s="103" t="n">
        <x:f>D222*INDEX('기본 맵 및 CM3'!$D$5:$D$8,'요약'!$B$5)</x:f>
        <x:v>76050</x:v>
      </x:c>
    </x:row>
    <x:row r="223">
      <x:c r="A223" s="131" t="n">
        <x:v>218</x:v>
      </x:c>
      <x:c r="B223" s="55" t="n">
        <x:f>A223*4</x:f>
        <x:v>872</x:v>
      </x:c>
      <x:c r="C223" s="102" t="n">
        <x:f>INDEX('기본 맵 및 CM3'!$Q$5:$Q$8,'요약'!$B$5)+INT(INDEX('기본 맵 및 CM3'!$K$5:$K$8,'요약'!$B$5)*A223/4096)</x:f>
        <x:v>1525</x:v>
      </x:c>
      <x:c r="D223" s="102" t="n">
        <x:f>IF(AND('요약'!$B$13=1,A223=0),0,C223)</x:f>
        <x:v>1525</x:v>
      </x:c>
      <x:c r="E223" s="102" t="n">
        <x:f>IF(A223=0,0,C223)</x:f>
        <x:v>1525</x:v>
      </x:c>
      <x:c r="F223" s="102" t="n">
        <x:f>C223-C222</x:f>
        <x:v>4</x:v>
      </x:c>
      <x:c r="G223" s="103" t="n">
        <x:f>D223*INDEX('기본 맵 및 CM3'!$D$5:$D$8,'요약'!$B$5)</x:f>
        <x:v>76250</x:v>
      </x:c>
    </x:row>
    <x:row r="224">
      <x:c r="A224" s="131" t="n">
        <x:v>219</x:v>
      </x:c>
      <x:c r="B224" s="55" t="n">
        <x:f>A224*4</x:f>
        <x:v>876</x:v>
      </x:c>
      <x:c r="C224" s="102" t="n">
        <x:f>INDEX('기본 맵 및 CM3'!$Q$5:$Q$8,'요약'!$B$5)+INT(INDEX('기본 맵 및 CM3'!$K$5:$K$8,'요약'!$B$5)*A224/4096)</x:f>
        <x:v>1530</x:v>
      </x:c>
      <x:c r="D224" s="102" t="n">
        <x:f>IF(AND('요약'!$B$13=1,A224=0),0,C224)</x:f>
        <x:v>1530</x:v>
      </x:c>
      <x:c r="E224" s="102" t="n">
        <x:f>IF(A224=0,0,C224)</x:f>
        <x:v>1530</x:v>
      </x:c>
      <x:c r="F224" s="102" t="n">
        <x:f>C224-C223</x:f>
        <x:v>5</x:v>
      </x:c>
      <x:c r="G224" s="103" t="n">
        <x:f>D224*INDEX('기본 맵 및 CM3'!$D$5:$D$8,'요약'!$B$5)</x:f>
        <x:v>76500</x:v>
      </x:c>
    </x:row>
    <x:row r="225">
      <x:c r="A225" s="131" t="n">
        <x:v>220</x:v>
      </x:c>
      <x:c r="B225" s="55" t="n">
        <x:f>A225*4</x:f>
        <x:v>880</x:v>
      </x:c>
      <x:c r="C225" s="102" t="n">
        <x:f>INDEX('기본 맵 및 CM3'!$Q$5:$Q$8,'요약'!$B$5)+INT(INDEX('기본 맵 및 CM3'!$K$5:$K$8,'요약'!$B$5)*A225/4096)</x:f>
        <x:v>1535</x:v>
      </x:c>
      <x:c r="D225" s="102" t="n">
        <x:f>IF(AND('요약'!$B$13=1,A225=0),0,C225)</x:f>
        <x:v>1535</x:v>
      </x:c>
      <x:c r="E225" s="102" t="n">
        <x:f>IF(A225=0,0,C225)</x:f>
        <x:v>1535</x:v>
      </x:c>
      <x:c r="F225" s="102" t="n">
        <x:f>C225-C224</x:f>
        <x:v>5</x:v>
      </x:c>
      <x:c r="G225" s="103" t="n">
        <x:f>D225*INDEX('기본 맵 및 CM3'!$D$5:$D$8,'요약'!$B$5)</x:f>
        <x:v>76750</x:v>
      </x:c>
    </x:row>
    <x:row r="226">
      <x:c r="A226" s="131" t="n">
        <x:v>221</x:v>
      </x:c>
      <x:c r="B226" s="55" t="n">
        <x:f>A226*4</x:f>
        <x:v>884</x:v>
      </x:c>
      <x:c r="C226" s="102" t="n">
        <x:f>INDEX('기본 맵 및 CM3'!$Q$5:$Q$8,'요약'!$B$5)+INT(INDEX('기본 맵 및 CM3'!$K$5:$K$8,'요약'!$B$5)*A226/4096)</x:f>
        <x:v>1540</x:v>
      </x:c>
      <x:c r="D226" s="102" t="n">
        <x:f>IF(AND('요약'!$B$13=1,A226=0),0,C226)</x:f>
        <x:v>1540</x:v>
      </x:c>
      <x:c r="E226" s="102" t="n">
        <x:f>IF(A226=0,0,C226)</x:f>
        <x:v>1540</x:v>
      </x:c>
      <x:c r="F226" s="102" t="n">
        <x:f>C226-C225</x:f>
        <x:v>5</x:v>
      </x:c>
      <x:c r="G226" s="103" t="n">
        <x:f>D226*INDEX('기본 맵 및 CM3'!$D$5:$D$8,'요약'!$B$5)</x:f>
        <x:v>77000</x:v>
      </x:c>
    </x:row>
    <x:row r="227">
      <x:c r="A227" s="131" t="n">
        <x:v>222</x:v>
      </x:c>
      <x:c r="B227" s="55" t="n">
        <x:f>A227*4</x:f>
        <x:v>888</x:v>
      </x:c>
      <x:c r="C227" s="102" t="n">
        <x:f>INDEX('기본 맵 및 CM3'!$Q$5:$Q$8,'요약'!$B$5)+INT(INDEX('기본 맵 및 CM3'!$K$5:$K$8,'요약'!$B$5)*A227/4096)</x:f>
        <x:v>1544</x:v>
      </x:c>
      <x:c r="D227" s="102" t="n">
        <x:f>IF(AND('요약'!$B$13=1,A227=0),0,C227)</x:f>
        <x:v>1544</x:v>
      </x:c>
      <x:c r="E227" s="102" t="n">
        <x:f>IF(A227=0,0,C227)</x:f>
        <x:v>1544</x:v>
      </x:c>
      <x:c r="F227" s="102" t="n">
        <x:f>C227-C226</x:f>
        <x:v>4</x:v>
      </x:c>
      <x:c r="G227" s="103" t="n">
        <x:f>D227*INDEX('기본 맵 및 CM3'!$D$5:$D$8,'요약'!$B$5)</x:f>
        <x:v>77200</x:v>
      </x:c>
    </x:row>
    <x:row r="228">
      <x:c r="A228" s="131" t="n">
        <x:v>223</x:v>
      </x:c>
      <x:c r="B228" s="55" t="n">
        <x:f>A228*4</x:f>
        <x:v>892</x:v>
      </x:c>
      <x:c r="C228" s="102" t="n">
        <x:f>INDEX('기본 맵 및 CM3'!$Q$5:$Q$8,'요약'!$B$5)+INT(INDEX('기본 맵 및 CM3'!$K$5:$K$8,'요약'!$B$5)*A228/4096)</x:f>
        <x:v>1549</x:v>
      </x:c>
      <x:c r="D228" s="102" t="n">
        <x:f>IF(AND('요약'!$B$13=1,A228=0),0,C228)</x:f>
        <x:v>1549</x:v>
      </x:c>
      <x:c r="E228" s="102" t="n">
        <x:f>IF(A228=0,0,C228)</x:f>
        <x:v>1549</x:v>
      </x:c>
      <x:c r="F228" s="102" t="n">
        <x:f>C228-C227</x:f>
        <x:v>5</x:v>
      </x:c>
      <x:c r="G228" s="103" t="n">
        <x:f>D228*INDEX('기본 맵 및 CM3'!$D$5:$D$8,'요약'!$B$5)</x:f>
        <x:v>77450</x:v>
      </x:c>
    </x:row>
    <x:row r="229">
      <x:c r="A229" s="131" t="n">
        <x:v>224</x:v>
      </x:c>
      <x:c r="B229" s="55" t="n">
        <x:f>A229*4</x:f>
        <x:v>896</x:v>
      </x:c>
      <x:c r="C229" s="102" t="n">
        <x:f>INDEX('기본 맵 및 CM3'!$Q$5:$Q$8,'요약'!$B$5)+INT(INDEX('기본 맵 및 CM3'!$K$5:$K$8,'요약'!$B$5)*A229/4096)</x:f>
        <x:v>1554</x:v>
      </x:c>
      <x:c r="D229" s="102" t="n">
        <x:f>IF(AND('요약'!$B$13=1,A229=0),0,C229)</x:f>
        <x:v>1554</x:v>
      </x:c>
      <x:c r="E229" s="102" t="n">
        <x:f>IF(A229=0,0,C229)</x:f>
        <x:v>1554</x:v>
      </x:c>
      <x:c r="F229" s="102" t="n">
        <x:f>C229-C228</x:f>
        <x:v>5</x:v>
      </x:c>
      <x:c r="G229" s="103" t="n">
        <x:f>D229*INDEX('기본 맵 및 CM3'!$D$5:$D$8,'요약'!$B$5)</x:f>
        <x:v>77700</x:v>
      </x:c>
    </x:row>
    <x:row r="230">
      <x:c r="A230" s="131" t="n">
        <x:v>225</x:v>
      </x:c>
      <x:c r="B230" s="55" t="n">
        <x:f>A230*4</x:f>
        <x:v>900</x:v>
      </x:c>
      <x:c r="C230" s="102" t="n">
        <x:f>INDEX('기본 맵 및 CM3'!$Q$5:$Q$8,'요약'!$B$5)+INT(INDEX('기본 맵 및 CM3'!$K$5:$K$8,'요약'!$B$5)*A230/4096)</x:f>
        <x:v>1558</x:v>
      </x:c>
      <x:c r="D230" s="102" t="n">
        <x:f>IF(AND('요약'!$B$13=1,A230=0),0,C230)</x:f>
        <x:v>1558</x:v>
      </x:c>
      <x:c r="E230" s="102" t="n">
        <x:f>IF(A230=0,0,C230)</x:f>
        <x:v>1558</x:v>
      </x:c>
      <x:c r="F230" s="102" t="n">
        <x:f>C230-C229</x:f>
        <x:v>4</x:v>
      </x:c>
      <x:c r="G230" s="103" t="n">
        <x:f>D230*INDEX('기본 맵 및 CM3'!$D$5:$D$8,'요약'!$B$5)</x:f>
        <x:v>77900</x:v>
      </x:c>
    </x:row>
    <x:row r="231">
      <x:c r="A231" s="131" t="n">
        <x:v>226</x:v>
      </x:c>
      <x:c r="B231" s="55" t="n">
        <x:f>A231*4</x:f>
        <x:v>904</x:v>
      </x:c>
      <x:c r="C231" s="102" t="n">
        <x:f>INDEX('기본 맵 및 CM3'!$Q$5:$Q$8,'요약'!$B$5)+INT(INDEX('기본 맵 및 CM3'!$K$5:$K$8,'요약'!$B$5)*A231/4096)</x:f>
        <x:v>1563</x:v>
      </x:c>
      <x:c r="D231" s="102" t="n">
        <x:f>IF(AND('요약'!$B$13=1,A231=0),0,C231)</x:f>
        <x:v>1563</x:v>
      </x:c>
      <x:c r="E231" s="102" t="n">
        <x:f>IF(A231=0,0,C231)</x:f>
        <x:v>1563</x:v>
      </x:c>
      <x:c r="F231" s="102" t="n">
        <x:f>C231-C230</x:f>
        <x:v>5</x:v>
      </x:c>
      <x:c r="G231" s="103" t="n">
        <x:f>D231*INDEX('기본 맵 및 CM3'!$D$5:$D$8,'요약'!$B$5)</x:f>
        <x:v>78150</x:v>
      </x:c>
    </x:row>
    <x:row r="232">
      <x:c r="A232" s="131" t="n">
        <x:v>227</x:v>
      </x:c>
      <x:c r="B232" s="55" t="n">
        <x:f>A232*4</x:f>
        <x:v>908</x:v>
      </x:c>
      <x:c r="C232" s="102" t="n">
        <x:f>INDEX('기본 맵 및 CM3'!$Q$5:$Q$8,'요약'!$B$5)+INT(INDEX('기본 맵 및 CM3'!$K$5:$K$8,'요약'!$B$5)*A232/4096)</x:f>
        <x:v>1568</x:v>
      </x:c>
      <x:c r="D232" s="102" t="n">
        <x:f>IF(AND('요약'!$B$13=1,A232=0),0,C232)</x:f>
        <x:v>1568</x:v>
      </x:c>
      <x:c r="E232" s="102" t="n">
        <x:f>IF(A232=0,0,C232)</x:f>
        <x:v>1568</x:v>
      </x:c>
      <x:c r="F232" s="102" t="n">
        <x:f>C232-C231</x:f>
        <x:v>5</x:v>
      </x:c>
      <x:c r="G232" s="103" t="n">
        <x:f>D232*INDEX('기본 맵 및 CM3'!$D$5:$D$8,'요약'!$B$5)</x:f>
        <x:v>78400</x:v>
      </x:c>
    </x:row>
    <x:row r="233">
      <x:c r="A233" s="131" t="n">
        <x:v>228</x:v>
      </x:c>
      <x:c r="B233" s="55" t="n">
        <x:f>A233*4</x:f>
        <x:v>912</x:v>
      </x:c>
      <x:c r="C233" s="102" t="n">
        <x:f>INDEX('기본 맵 및 CM3'!$Q$5:$Q$8,'요약'!$B$5)+INT(INDEX('기본 맵 및 CM3'!$K$5:$K$8,'요약'!$B$5)*A233/4096)</x:f>
        <x:v>1573</x:v>
      </x:c>
      <x:c r="D233" s="102" t="n">
        <x:f>IF(AND('요약'!$B$13=1,A233=0),0,C233)</x:f>
        <x:v>1573</x:v>
      </x:c>
      <x:c r="E233" s="102" t="n">
        <x:f>IF(A233=0,0,C233)</x:f>
        <x:v>1573</x:v>
      </x:c>
      <x:c r="F233" s="102" t="n">
        <x:f>C233-C232</x:f>
        <x:v>5</x:v>
      </x:c>
      <x:c r="G233" s="103" t="n">
        <x:f>D233*INDEX('기본 맵 및 CM3'!$D$5:$D$8,'요약'!$B$5)</x:f>
        <x:v>78650</x:v>
      </x:c>
    </x:row>
    <x:row r="234">
      <x:c r="A234" s="131" t="n">
        <x:v>229</x:v>
      </x:c>
      <x:c r="B234" s="55" t="n">
        <x:f>A234*4</x:f>
        <x:v>916</x:v>
      </x:c>
      <x:c r="C234" s="102" t="n">
        <x:f>INDEX('기본 맵 및 CM3'!$Q$5:$Q$8,'요약'!$B$5)+INT(INDEX('기본 맵 및 CM3'!$K$5:$K$8,'요약'!$B$5)*A234/4096)</x:f>
        <x:v>1577</x:v>
      </x:c>
      <x:c r="D234" s="102" t="n">
        <x:f>IF(AND('요약'!$B$13=1,A234=0),0,C234)</x:f>
        <x:v>1577</x:v>
      </x:c>
      <x:c r="E234" s="102" t="n">
        <x:f>IF(A234=0,0,C234)</x:f>
        <x:v>1577</x:v>
      </x:c>
      <x:c r="F234" s="102" t="n">
        <x:f>C234-C233</x:f>
        <x:v>4</x:v>
      </x:c>
      <x:c r="G234" s="103" t="n">
        <x:f>D234*INDEX('기본 맵 및 CM3'!$D$5:$D$8,'요약'!$B$5)</x:f>
        <x:v>78850</x:v>
      </x:c>
    </x:row>
    <x:row r="235">
      <x:c r="A235" s="131" t="n">
        <x:v>230</x:v>
      </x:c>
      <x:c r="B235" s="55" t="n">
        <x:f>A235*4</x:f>
        <x:v>920</x:v>
      </x:c>
      <x:c r="C235" s="102" t="n">
        <x:f>INDEX('기본 맵 및 CM3'!$Q$5:$Q$8,'요약'!$B$5)+INT(INDEX('기본 맵 및 CM3'!$K$5:$K$8,'요약'!$B$5)*A235/4096)</x:f>
        <x:v>1582</x:v>
      </x:c>
      <x:c r="D235" s="102" t="n">
        <x:f>IF(AND('요약'!$B$13=1,A235=0),0,C235)</x:f>
        <x:v>1582</x:v>
      </x:c>
      <x:c r="E235" s="102" t="n">
        <x:f>IF(A235=0,0,C235)</x:f>
        <x:v>1582</x:v>
      </x:c>
      <x:c r="F235" s="102" t="n">
        <x:f>C235-C234</x:f>
        <x:v>5</x:v>
      </x:c>
      <x:c r="G235" s="103" t="n">
        <x:f>D235*INDEX('기본 맵 및 CM3'!$D$5:$D$8,'요약'!$B$5)</x:f>
        <x:v>79100</x:v>
      </x:c>
    </x:row>
    <x:row r="236">
      <x:c r="A236" s="131" t="n">
        <x:v>231</x:v>
      </x:c>
      <x:c r="B236" s="55" t="n">
        <x:f>A236*4</x:f>
        <x:v>924</x:v>
      </x:c>
      <x:c r="C236" s="102" t="n">
        <x:f>INDEX('기본 맵 및 CM3'!$Q$5:$Q$8,'요약'!$B$5)+INT(INDEX('기본 맵 및 CM3'!$K$5:$K$8,'요약'!$B$5)*A236/4096)</x:f>
        <x:v>1587</x:v>
      </x:c>
      <x:c r="D236" s="102" t="n">
        <x:f>IF(AND('요약'!$B$13=1,A236=0),0,C236)</x:f>
        <x:v>1587</x:v>
      </x:c>
      <x:c r="E236" s="102" t="n">
        <x:f>IF(A236=0,0,C236)</x:f>
        <x:v>1587</x:v>
      </x:c>
      <x:c r="F236" s="102" t="n">
        <x:f>C236-C235</x:f>
        <x:v>5</x:v>
      </x:c>
      <x:c r="G236" s="103" t="n">
        <x:f>D236*INDEX('기본 맵 및 CM3'!$D$5:$D$8,'요약'!$B$5)</x:f>
        <x:v>79350</x:v>
      </x:c>
    </x:row>
    <x:row r="237">
      <x:c r="A237" s="131" t="n">
        <x:v>232</x:v>
      </x:c>
      <x:c r="B237" s="55" t="n">
        <x:f>A237*4</x:f>
        <x:v>928</x:v>
      </x:c>
      <x:c r="C237" s="102" t="n">
        <x:f>INDEX('기본 맵 및 CM3'!$Q$5:$Q$8,'요약'!$B$5)+INT(INDEX('기본 맵 및 CM3'!$K$5:$K$8,'요약'!$B$5)*A237/4096)</x:f>
        <x:v>1592</x:v>
      </x:c>
      <x:c r="D237" s="102" t="n">
        <x:f>IF(AND('요약'!$B$13=1,A237=0),0,C237)</x:f>
        <x:v>1592</x:v>
      </x:c>
      <x:c r="E237" s="102" t="n">
        <x:f>IF(A237=0,0,C237)</x:f>
        <x:v>1592</x:v>
      </x:c>
      <x:c r="F237" s="102" t="n">
        <x:f>C237-C236</x:f>
        <x:v>5</x:v>
      </x:c>
      <x:c r="G237" s="103" t="n">
        <x:f>D237*INDEX('기본 맵 및 CM3'!$D$5:$D$8,'요약'!$B$5)</x:f>
        <x:v>79600</x:v>
      </x:c>
    </x:row>
    <x:row r="238">
      <x:c r="A238" s="131" t="n">
        <x:v>233</x:v>
      </x:c>
      <x:c r="B238" s="55" t="n">
        <x:f>A238*4</x:f>
        <x:v>932</x:v>
      </x:c>
      <x:c r="C238" s="102" t="n">
        <x:f>INDEX('기본 맵 및 CM3'!$Q$5:$Q$8,'요약'!$B$5)+INT(INDEX('기본 맵 및 CM3'!$K$5:$K$8,'요약'!$B$5)*A238/4096)</x:f>
        <x:v>1596</x:v>
      </x:c>
      <x:c r="D238" s="102" t="n">
        <x:f>IF(AND('요약'!$B$13=1,A238=0),0,C238)</x:f>
        <x:v>1596</x:v>
      </x:c>
      <x:c r="E238" s="102" t="n">
        <x:f>IF(A238=0,0,C238)</x:f>
        <x:v>1596</x:v>
      </x:c>
      <x:c r="F238" s="102" t="n">
        <x:f>C238-C237</x:f>
        <x:v>4</x:v>
      </x:c>
      <x:c r="G238" s="103" t="n">
        <x:f>D238*INDEX('기본 맵 및 CM3'!$D$5:$D$8,'요약'!$B$5)</x:f>
        <x:v>79800</x:v>
      </x:c>
    </x:row>
    <x:row r="239">
      <x:c r="A239" s="131" t="n">
        <x:v>234</x:v>
      </x:c>
      <x:c r="B239" s="55" t="n">
        <x:f>A239*4</x:f>
        <x:v>936</x:v>
      </x:c>
      <x:c r="C239" s="102" t="n">
        <x:f>INDEX('기본 맵 및 CM3'!$Q$5:$Q$8,'요약'!$B$5)+INT(INDEX('기본 맵 및 CM3'!$K$5:$K$8,'요약'!$B$5)*A239/4096)</x:f>
        <x:v>1601</x:v>
      </x:c>
      <x:c r="D239" s="102" t="n">
        <x:f>IF(AND('요약'!$B$13=1,A239=0),0,C239)</x:f>
        <x:v>1601</x:v>
      </x:c>
      <x:c r="E239" s="102" t="n">
        <x:f>IF(A239=0,0,C239)</x:f>
        <x:v>1601</x:v>
      </x:c>
      <x:c r="F239" s="102" t="n">
        <x:f>C239-C238</x:f>
        <x:v>5</x:v>
      </x:c>
      <x:c r="G239" s="103" t="n">
        <x:f>D239*INDEX('기본 맵 및 CM3'!$D$5:$D$8,'요약'!$B$5)</x:f>
        <x:v>80050</x:v>
      </x:c>
    </x:row>
    <x:row r="240">
      <x:c r="A240" s="131" t="n">
        <x:v>235</x:v>
      </x:c>
      <x:c r="B240" s="55" t="n">
        <x:f>A240*4</x:f>
        <x:v>940</x:v>
      </x:c>
      <x:c r="C240" s="102" t="n">
        <x:f>INDEX('기본 맵 및 CM3'!$Q$5:$Q$8,'요약'!$B$5)+INT(INDEX('기본 맵 및 CM3'!$K$5:$K$8,'요약'!$B$5)*A240/4096)</x:f>
        <x:v>1606</x:v>
      </x:c>
      <x:c r="D240" s="102" t="n">
        <x:f>IF(AND('요약'!$B$13=1,A240=0),0,C240)</x:f>
        <x:v>1606</x:v>
      </x:c>
      <x:c r="E240" s="102" t="n">
        <x:f>IF(A240=0,0,C240)</x:f>
        <x:v>1606</x:v>
      </x:c>
      <x:c r="F240" s="102" t="n">
        <x:f>C240-C239</x:f>
        <x:v>5</x:v>
      </x:c>
      <x:c r="G240" s="103" t="n">
        <x:f>D240*INDEX('기본 맵 및 CM3'!$D$5:$D$8,'요약'!$B$5)</x:f>
        <x:v>80300</x:v>
      </x:c>
    </x:row>
    <x:row r="241">
      <x:c r="A241" s="131" t="n">
        <x:v>236</x:v>
      </x:c>
      <x:c r="B241" s="55" t="n">
        <x:f>A241*4</x:f>
        <x:v>944</x:v>
      </x:c>
      <x:c r="C241" s="102" t="n">
        <x:f>INDEX('기본 맵 및 CM3'!$Q$5:$Q$8,'요약'!$B$5)+INT(INDEX('기본 맵 및 CM3'!$K$5:$K$8,'요약'!$B$5)*A241/4096)</x:f>
        <x:v>1610</x:v>
      </x:c>
      <x:c r="D241" s="102" t="n">
        <x:f>IF(AND('요약'!$B$13=1,A241=0),0,C241)</x:f>
        <x:v>1610</x:v>
      </x:c>
      <x:c r="E241" s="102" t="n">
        <x:f>IF(A241=0,0,C241)</x:f>
        <x:v>1610</x:v>
      </x:c>
      <x:c r="F241" s="102" t="n">
        <x:f>C241-C240</x:f>
        <x:v>4</x:v>
      </x:c>
      <x:c r="G241" s="103" t="n">
        <x:f>D241*INDEX('기본 맵 및 CM3'!$D$5:$D$8,'요약'!$B$5)</x:f>
        <x:v>80500</x:v>
      </x:c>
    </x:row>
    <x:row r="242">
      <x:c r="A242" s="131" t="n">
        <x:v>237</x:v>
      </x:c>
      <x:c r="B242" s="55" t="n">
        <x:f>A242*4</x:f>
        <x:v>948</x:v>
      </x:c>
      <x:c r="C242" s="102" t="n">
        <x:f>INDEX('기본 맵 및 CM3'!$Q$5:$Q$8,'요약'!$B$5)+INT(INDEX('기본 맵 및 CM3'!$K$5:$K$8,'요약'!$B$5)*A242/4096)</x:f>
        <x:v>1615</x:v>
      </x:c>
      <x:c r="D242" s="102" t="n">
        <x:f>IF(AND('요약'!$B$13=1,A242=0),0,C242)</x:f>
        <x:v>1615</x:v>
      </x:c>
      <x:c r="E242" s="102" t="n">
        <x:f>IF(A242=0,0,C242)</x:f>
        <x:v>1615</x:v>
      </x:c>
      <x:c r="F242" s="102" t="n">
        <x:f>C242-C241</x:f>
        <x:v>5</x:v>
      </x:c>
      <x:c r="G242" s="103" t="n">
        <x:f>D242*INDEX('기본 맵 및 CM3'!$D$5:$D$8,'요약'!$B$5)</x:f>
        <x:v>80750</x:v>
      </x:c>
    </x:row>
    <x:row r="243">
      <x:c r="A243" s="131" t="n">
        <x:v>238</x:v>
      </x:c>
      <x:c r="B243" s="55" t="n">
        <x:f>A243*4</x:f>
        <x:v>952</x:v>
      </x:c>
      <x:c r="C243" s="102" t="n">
        <x:f>INDEX('기본 맵 및 CM3'!$Q$5:$Q$8,'요약'!$B$5)+INT(INDEX('기본 맵 및 CM3'!$K$5:$K$8,'요약'!$B$5)*A243/4096)</x:f>
        <x:v>1620</x:v>
      </x:c>
      <x:c r="D243" s="102" t="n">
        <x:f>IF(AND('요약'!$B$13=1,A243=0),0,C243)</x:f>
        <x:v>1620</x:v>
      </x:c>
      <x:c r="E243" s="102" t="n">
        <x:f>IF(A243=0,0,C243)</x:f>
        <x:v>1620</x:v>
      </x:c>
      <x:c r="F243" s="102" t="n">
        <x:f>C243-C242</x:f>
        <x:v>5</x:v>
      </x:c>
      <x:c r="G243" s="103" t="n">
        <x:f>D243*INDEX('기본 맵 및 CM3'!$D$5:$D$8,'요약'!$B$5)</x:f>
        <x:v>81000</x:v>
      </x:c>
    </x:row>
    <x:row r="244">
      <x:c r="A244" s="131" t="n">
        <x:v>239</x:v>
      </x:c>
      <x:c r="B244" s="55" t="n">
        <x:f>A244*4</x:f>
        <x:v>956</x:v>
      </x:c>
      <x:c r="C244" s="102" t="n">
        <x:f>INDEX('기본 맵 및 CM3'!$Q$5:$Q$8,'요약'!$B$5)+INT(INDEX('기본 맵 및 CM3'!$K$5:$K$8,'요약'!$B$5)*A244/4096)</x:f>
        <x:v>1625</x:v>
      </x:c>
      <x:c r="D244" s="102" t="n">
        <x:f>IF(AND('요약'!$B$13=1,A244=0),0,C244)</x:f>
        <x:v>1625</x:v>
      </x:c>
      <x:c r="E244" s="102" t="n">
        <x:f>IF(A244=0,0,C244)</x:f>
        <x:v>1625</x:v>
      </x:c>
      <x:c r="F244" s="102" t="n">
        <x:f>C244-C243</x:f>
        <x:v>5</x:v>
      </x:c>
      <x:c r="G244" s="103" t="n">
        <x:f>D244*INDEX('기본 맵 및 CM3'!$D$5:$D$8,'요약'!$B$5)</x:f>
        <x:v>81250</x:v>
      </x:c>
    </x:row>
    <x:row r="245">
      <x:c r="A245" s="131" t="n">
        <x:v>240</x:v>
      </x:c>
      <x:c r="B245" s="55" t="n">
        <x:f>A245*4</x:f>
        <x:v>960</x:v>
      </x:c>
      <x:c r="C245" s="102" t="n">
        <x:f>INDEX('기본 맵 및 CM3'!$Q$5:$Q$8,'요약'!$B$5)+INT(INDEX('기본 맵 및 CM3'!$K$5:$K$8,'요약'!$B$5)*A245/4096)</x:f>
        <x:v>1629</x:v>
      </x:c>
      <x:c r="D245" s="102" t="n">
        <x:f>IF(AND('요약'!$B$13=1,A245=0),0,C245)</x:f>
        <x:v>1629</x:v>
      </x:c>
      <x:c r="E245" s="102" t="n">
        <x:f>IF(A245=0,0,C245)</x:f>
        <x:v>1629</x:v>
      </x:c>
      <x:c r="F245" s="102" t="n">
        <x:f>C245-C244</x:f>
        <x:v>4</x:v>
      </x:c>
      <x:c r="G245" s="103" t="n">
        <x:f>D245*INDEX('기본 맵 및 CM3'!$D$5:$D$8,'요약'!$B$5)</x:f>
        <x:v>81450</x:v>
      </x:c>
    </x:row>
    <x:row r="246">
      <x:c r="A246" s="131" t="n">
        <x:v>241</x:v>
      </x:c>
      <x:c r="B246" s="55" t="n">
        <x:f>A246*4</x:f>
        <x:v>964</x:v>
      </x:c>
      <x:c r="C246" s="102" t="n">
        <x:f>INDEX('기본 맵 및 CM3'!$Q$5:$Q$8,'요약'!$B$5)+INT(INDEX('기본 맵 및 CM3'!$K$5:$K$8,'요약'!$B$5)*A246/4096)</x:f>
        <x:v>1634</x:v>
      </x:c>
      <x:c r="D246" s="102" t="n">
        <x:f>IF(AND('요약'!$B$13=1,A246=0),0,C246)</x:f>
        <x:v>1634</x:v>
      </x:c>
      <x:c r="E246" s="102" t="n">
        <x:f>IF(A246=0,0,C246)</x:f>
        <x:v>1634</x:v>
      </x:c>
      <x:c r="F246" s="102" t="n">
        <x:f>C246-C245</x:f>
        <x:v>5</x:v>
      </x:c>
      <x:c r="G246" s="103" t="n">
        <x:f>D246*INDEX('기본 맵 및 CM3'!$D$5:$D$8,'요약'!$B$5)</x:f>
        <x:v>81700</x:v>
      </x:c>
    </x:row>
    <x:row r="247">
      <x:c r="A247" s="131" t="n">
        <x:v>242</x:v>
      </x:c>
      <x:c r="B247" s="55" t="n">
        <x:f>A247*4</x:f>
        <x:v>968</x:v>
      </x:c>
      <x:c r="C247" s="102" t="n">
        <x:f>INDEX('기본 맵 및 CM3'!$Q$5:$Q$8,'요약'!$B$5)+INT(INDEX('기본 맵 및 CM3'!$K$5:$K$8,'요약'!$B$5)*A247/4096)</x:f>
        <x:v>1639</x:v>
      </x:c>
      <x:c r="D247" s="102" t="n">
        <x:f>IF(AND('요약'!$B$13=1,A247=0),0,C247)</x:f>
        <x:v>1639</x:v>
      </x:c>
      <x:c r="E247" s="102" t="n">
        <x:f>IF(A247=0,0,C247)</x:f>
        <x:v>1639</x:v>
      </x:c>
      <x:c r="F247" s="102" t="n">
        <x:f>C247-C246</x:f>
        <x:v>5</x:v>
      </x:c>
      <x:c r="G247" s="103" t="n">
        <x:f>D247*INDEX('기본 맵 및 CM3'!$D$5:$D$8,'요약'!$B$5)</x:f>
        <x:v>81950</x:v>
      </x:c>
    </x:row>
    <x:row r="248">
      <x:c r="A248" s="131" t="n">
        <x:v>243</x:v>
      </x:c>
      <x:c r="B248" s="55" t="n">
        <x:f>A248*4</x:f>
        <x:v>972</x:v>
      </x:c>
      <x:c r="C248" s="102" t="n">
        <x:f>INDEX('기본 맵 및 CM3'!$Q$5:$Q$8,'요약'!$B$5)+INT(INDEX('기본 맵 및 CM3'!$K$5:$K$8,'요약'!$B$5)*A248/4096)</x:f>
        <x:v>1643</x:v>
      </x:c>
      <x:c r="D248" s="102" t="n">
        <x:f>IF(AND('요약'!$B$13=1,A248=0),0,C248)</x:f>
        <x:v>1643</x:v>
      </x:c>
      <x:c r="E248" s="102" t="n">
        <x:f>IF(A248=0,0,C248)</x:f>
        <x:v>1643</x:v>
      </x:c>
      <x:c r="F248" s="102" t="n">
        <x:f>C248-C247</x:f>
        <x:v>4</x:v>
      </x:c>
      <x:c r="G248" s="103" t="n">
        <x:f>D248*INDEX('기본 맵 및 CM3'!$D$5:$D$8,'요약'!$B$5)</x:f>
        <x:v>82150</x:v>
      </x:c>
    </x:row>
    <x:row r="249">
      <x:c r="A249" s="131" t="n">
        <x:v>244</x:v>
      </x:c>
      <x:c r="B249" s="55" t="n">
        <x:f>A249*4</x:f>
        <x:v>976</x:v>
      </x:c>
      <x:c r="C249" s="102" t="n">
        <x:f>INDEX('기본 맵 및 CM3'!$Q$5:$Q$8,'요약'!$B$5)+INT(INDEX('기본 맵 및 CM3'!$K$5:$K$8,'요약'!$B$5)*A249/4096)</x:f>
        <x:v>1648</x:v>
      </x:c>
      <x:c r="D249" s="102" t="n">
        <x:f>IF(AND('요약'!$B$13=1,A249=0),0,C249)</x:f>
        <x:v>1648</x:v>
      </x:c>
      <x:c r="E249" s="102" t="n">
        <x:f>IF(A249=0,0,C249)</x:f>
        <x:v>1648</x:v>
      </x:c>
      <x:c r="F249" s="102" t="n">
        <x:f>C249-C248</x:f>
        <x:v>5</x:v>
      </x:c>
      <x:c r="G249" s="103" t="n">
        <x:f>D249*INDEX('기본 맵 및 CM3'!$D$5:$D$8,'요약'!$B$5)</x:f>
        <x:v>82400</x:v>
      </x:c>
    </x:row>
    <x:row r="250">
      <x:c r="A250" s="131" t="n">
        <x:v>245</x:v>
      </x:c>
      <x:c r="B250" s="55" t="n">
        <x:f>A250*4</x:f>
        <x:v>980</x:v>
      </x:c>
      <x:c r="C250" s="102" t="n">
        <x:f>INDEX('기본 맵 및 CM3'!$Q$5:$Q$8,'요약'!$B$5)+INT(INDEX('기본 맵 및 CM3'!$K$5:$K$8,'요약'!$B$5)*A250/4096)</x:f>
        <x:v>1653</x:v>
      </x:c>
      <x:c r="D250" s="102" t="n">
        <x:f>IF(AND('요약'!$B$13=1,A250=0),0,C250)</x:f>
        <x:v>1653</x:v>
      </x:c>
      <x:c r="E250" s="102" t="n">
        <x:f>IF(A250=0,0,C250)</x:f>
        <x:v>1653</x:v>
      </x:c>
      <x:c r="F250" s="102" t="n">
        <x:f>C250-C249</x:f>
        <x:v>5</x:v>
      </x:c>
      <x:c r="G250" s="103" t="n">
        <x:f>D250*INDEX('기본 맵 및 CM3'!$D$5:$D$8,'요약'!$B$5)</x:f>
        <x:v>82650</x:v>
      </x:c>
    </x:row>
    <x:row r="251">
      <x:c r="A251" s="131" t="n">
        <x:v>246</x:v>
      </x:c>
      <x:c r="B251" s="55" t="n">
        <x:f>A251*4</x:f>
        <x:v>984</x:v>
      </x:c>
      <x:c r="C251" s="102" t="n">
        <x:f>INDEX('기본 맵 및 CM3'!$Q$5:$Q$8,'요약'!$B$5)+INT(INDEX('기본 맵 및 CM3'!$K$5:$K$8,'요약'!$B$5)*A251/4096)</x:f>
        <x:v>1658</x:v>
      </x:c>
      <x:c r="D251" s="102" t="n">
        <x:f>IF(AND('요약'!$B$13=1,A251=0),0,C251)</x:f>
        <x:v>1658</x:v>
      </x:c>
      <x:c r="E251" s="102" t="n">
        <x:f>IF(A251=0,0,C251)</x:f>
        <x:v>1658</x:v>
      </x:c>
      <x:c r="F251" s="102" t="n">
        <x:f>C251-C250</x:f>
        <x:v>5</x:v>
      </x:c>
      <x:c r="G251" s="103" t="n">
        <x:f>D251*INDEX('기본 맵 및 CM3'!$D$5:$D$8,'요약'!$B$5)</x:f>
        <x:v>82900</x:v>
      </x:c>
    </x:row>
    <x:row r="252">
      <x:c r="A252" s="131" t="n">
        <x:v>247</x:v>
      </x:c>
      <x:c r="B252" s="55" t="n">
        <x:f>A252*4</x:f>
        <x:v>988</x:v>
      </x:c>
      <x:c r="C252" s="102" t="n">
        <x:f>INDEX('기본 맵 및 CM3'!$Q$5:$Q$8,'요약'!$B$5)+INT(INDEX('기본 맵 및 CM3'!$K$5:$K$8,'요약'!$B$5)*A252/4096)</x:f>
        <x:v>1662</x:v>
      </x:c>
      <x:c r="D252" s="102" t="n">
        <x:f>IF(AND('요약'!$B$13=1,A252=0),0,C252)</x:f>
        <x:v>1662</x:v>
      </x:c>
      <x:c r="E252" s="102" t="n">
        <x:f>IF(A252=0,0,C252)</x:f>
        <x:v>1662</x:v>
      </x:c>
      <x:c r="F252" s="102" t="n">
        <x:f>C252-C251</x:f>
        <x:v>4</x:v>
      </x:c>
      <x:c r="G252" s="103" t="n">
        <x:f>D252*INDEX('기본 맵 및 CM3'!$D$5:$D$8,'요약'!$B$5)</x:f>
        <x:v>83100</x:v>
      </x:c>
    </x:row>
    <x:row r="253">
      <x:c r="A253" s="131" t="n">
        <x:v>248</x:v>
      </x:c>
      <x:c r="B253" s="55" t="n">
        <x:f>A253*4</x:f>
        <x:v>992</x:v>
      </x:c>
      <x:c r="C253" s="102" t="n">
        <x:f>INDEX('기본 맵 및 CM3'!$Q$5:$Q$8,'요약'!$B$5)+INT(INDEX('기본 맵 및 CM3'!$K$5:$K$8,'요약'!$B$5)*A253/4096)</x:f>
        <x:v>1667</x:v>
      </x:c>
      <x:c r="D253" s="102" t="n">
        <x:f>IF(AND('요약'!$B$13=1,A253=0),0,C253)</x:f>
        <x:v>1667</x:v>
      </x:c>
      <x:c r="E253" s="102" t="n">
        <x:f>IF(A253=0,0,C253)</x:f>
        <x:v>1667</x:v>
      </x:c>
      <x:c r="F253" s="102" t="n">
        <x:f>C253-C252</x:f>
        <x:v>5</x:v>
      </x:c>
      <x:c r="G253" s="103" t="n">
        <x:f>D253*INDEX('기본 맵 및 CM3'!$D$5:$D$8,'요약'!$B$5)</x:f>
        <x:v>83350</x:v>
      </x:c>
    </x:row>
    <x:row r="254">
      <x:c r="A254" s="131" t="n">
        <x:v>249</x:v>
      </x:c>
      <x:c r="B254" s="55" t="n">
        <x:f>A254*4</x:f>
        <x:v>996</x:v>
      </x:c>
      <x:c r="C254" s="102" t="n">
        <x:f>INDEX('기본 맵 및 CM3'!$Q$5:$Q$8,'요약'!$B$5)+INT(INDEX('기본 맵 및 CM3'!$K$5:$K$8,'요약'!$B$5)*A254/4096)</x:f>
        <x:v>1672</x:v>
      </x:c>
      <x:c r="D254" s="102" t="n">
        <x:f>IF(AND('요약'!$B$13=1,A254=0),0,C254)</x:f>
        <x:v>1672</x:v>
      </x:c>
      <x:c r="E254" s="102" t="n">
        <x:f>IF(A254=0,0,C254)</x:f>
        <x:v>1672</x:v>
      </x:c>
      <x:c r="F254" s="102" t="n">
        <x:f>C254-C253</x:f>
        <x:v>5</x:v>
      </x:c>
      <x:c r="G254" s="103" t="n">
        <x:f>D254*INDEX('기본 맵 및 CM3'!$D$5:$D$8,'요약'!$B$5)</x:f>
        <x:v>83600</x:v>
      </x:c>
    </x:row>
    <x:row r="255">
      <x:c r="A255" s="131" t="n">
        <x:v>250</x:v>
      </x:c>
      <x:c r="B255" s="55" t="n">
        <x:f>A255*4</x:f>
        <x:v>1000</x:v>
      </x:c>
      <x:c r="C255" s="102" t="n">
        <x:f>INDEX('기본 맵 및 CM3'!$Q$5:$Q$8,'요약'!$B$5)+INT(INDEX('기본 맵 및 CM3'!$K$5:$K$8,'요약'!$B$5)*A255/4096)</x:f>
        <x:v>1676</x:v>
      </x:c>
      <x:c r="D255" s="102" t="n">
        <x:f>IF(AND('요약'!$B$13=1,A255=0),0,C255)</x:f>
        <x:v>1676</x:v>
      </x:c>
      <x:c r="E255" s="102" t="n">
        <x:f>IF(A255=0,0,C255)</x:f>
        <x:v>1676</x:v>
      </x:c>
      <x:c r="F255" s="102" t="n">
        <x:f>C255-C254</x:f>
        <x:v>4</x:v>
      </x:c>
      <x:c r="G255" s="103" t="n">
        <x:f>D255*INDEX('기본 맵 및 CM3'!$D$5:$D$8,'요약'!$B$5)</x:f>
        <x:v>83800</x:v>
      </x:c>
    </x:row>
    <x:row r="256">
      <x:c r="A256" s="131" t="n">
        <x:v>251</x:v>
      </x:c>
      <x:c r="B256" s="55" t="n">
        <x:f>A256*4</x:f>
        <x:v>1004</x:v>
      </x:c>
      <x:c r="C256" s="102" t="n">
        <x:f>INDEX('기본 맵 및 CM3'!$Q$5:$Q$8,'요약'!$B$5)+INT(INDEX('기본 맵 및 CM3'!$K$5:$K$8,'요약'!$B$5)*A256/4096)</x:f>
        <x:v>1681</x:v>
      </x:c>
      <x:c r="D256" s="102" t="n">
        <x:f>IF(AND('요약'!$B$13=1,A256=0),0,C256)</x:f>
        <x:v>1681</x:v>
      </x:c>
      <x:c r="E256" s="102" t="n">
        <x:f>IF(A256=0,0,C256)</x:f>
        <x:v>1681</x:v>
      </x:c>
      <x:c r="F256" s="102" t="n">
        <x:f>C256-C255</x:f>
        <x:v>5</x:v>
      </x:c>
      <x:c r="G256" s="103" t="n">
        <x:f>D256*INDEX('기본 맵 및 CM3'!$D$5:$D$8,'요약'!$B$5)</x:f>
        <x:v>84050</x:v>
      </x:c>
    </x:row>
    <x:row r="257">
      <x:c r="A257" s="131" t="n">
        <x:v>252</x:v>
      </x:c>
      <x:c r="B257" s="55" t="n">
        <x:f>A257*4</x:f>
        <x:v>1008</x:v>
      </x:c>
      <x:c r="C257" s="102" t="n">
        <x:f>INDEX('기본 맵 및 CM3'!$Q$5:$Q$8,'요약'!$B$5)+INT(INDEX('기본 맵 및 CM3'!$K$5:$K$8,'요약'!$B$5)*A257/4096)</x:f>
        <x:v>1686</x:v>
      </x:c>
      <x:c r="D257" s="102" t="n">
        <x:f>IF(AND('요약'!$B$13=1,A257=0),0,C257)</x:f>
        <x:v>1686</x:v>
      </x:c>
      <x:c r="E257" s="102" t="n">
        <x:f>IF(A257=0,0,C257)</x:f>
        <x:v>1686</x:v>
      </x:c>
      <x:c r="F257" s="102" t="n">
        <x:f>C257-C256</x:f>
        <x:v>5</x:v>
      </x:c>
      <x:c r="G257" s="103" t="n">
        <x:f>D257*INDEX('기본 맵 및 CM3'!$D$5:$D$8,'요약'!$B$5)</x:f>
        <x:v>84300</x:v>
      </x:c>
    </x:row>
    <x:row r="258">
      <x:c r="A258" s="131" t="n">
        <x:v>253</x:v>
      </x:c>
      <x:c r="B258" s="55" t="n">
        <x:f>A258*4</x:f>
        <x:v>1012</x:v>
      </x:c>
      <x:c r="C258" s="102" t="n">
        <x:f>INDEX('기본 맵 및 CM3'!$Q$5:$Q$8,'요약'!$B$5)+INT(INDEX('기본 맵 및 CM3'!$K$5:$K$8,'요약'!$B$5)*A258/4096)</x:f>
        <x:v>1691</x:v>
      </x:c>
      <x:c r="D258" s="102" t="n">
        <x:f>IF(AND('요약'!$B$13=1,A258=0),0,C258)</x:f>
        <x:v>1691</x:v>
      </x:c>
      <x:c r="E258" s="102" t="n">
        <x:f>IF(A258=0,0,C258)</x:f>
        <x:v>1691</x:v>
      </x:c>
      <x:c r="F258" s="102" t="n">
        <x:f>C258-C257</x:f>
        <x:v>5</x:v>
      </x:c>
      <x:c r="G258" s="103" t="n">
        <x:f>D258*INDEX('기본 맵 및 CM3'!$D$5:$D$8,'요약'!$B$5)</x:f>
        <x:v>84550</x:v>
      </x:c>
    </x:row>
    <x:row r="259">
      <x:c r="A259" s="131" t="n">
        <x:v>254</x:v>
      </x:c>
      <x:c r="B259" s="55" t="n">
        <x:f>A259*4</x:f>
        <x:v>1016</x:v>
      </x:c>
      <x:c r="C259" s="102" t="n">
        <x:f>INDEX('기본 맵 및 CM3'!$Q$5:$Q$8,'요약'!$B$5)+INT(INDEX('기본 맵 및 CM3'!$K$5:$K$8,'요약'!$B$5)*A259/4096)</x:f>
        <x:v>1695</x:v>
      </x:c>
      <x:c r="D259" s="102" t="n">
        <x:f>IF(AND('요약'!$B$13=1,A259=0),0,C259)</x:f>
        <x:v>1695</x:v>
      </x:c>
      <x:c r="E259" s="102" t="n">
        <x:f>IF(A259=0,0,C259)</x:f>
        <x:v>1695</x:v>
      </x:c>
      <x:c r="F259" s="102" t="n">
        <x:f>C259-C258</x:f>
        <x:v>4</x:v>
      </x:c>
      <x:c r="G259" s="103" t="n">
        <x:f>D259*INDEX('기본 맵 및 CM3'!$D$5:$D$8,'요약'!$B$5)</x:f>
        <x:v>84750</x:v>
      </x:c>
    </x:row>
    <x:row r="260">
      <x:c r="A260" s="132" t="n">
        <x:v>255</x:v>
      </x:c>
      <x:c r="B260" s="58" t="n">
        <x:f>A260*4</x:f>
        <x:v>1020</x:v>
      </x:c>
      <x:c r="C260" s="105" t="n">
        <x:f>INDEX('기본 맵 및 CM3'!$Q$5:$Q$8,'요약'!$B$5)+INT(INDEX('기본 맵 및 CM3'!$K$5:$K$8,'요약'!$B$5)*A260/4096)</x:f>
        <x:v>1700</x:v>
      </x:c>
      <x:c r="D260" s="105" t="n">
        <x:f>IF(AND('요약'!$B$13=1,A260=0),0,C260)</x:f>
        <x:v>1700</x:v>
      </x:c>
      <x:c r="E260" s="105" t="n">
        <x:f>IF(A260=0,0,C260)</x:f>
        <x:v>1700</x:v>
      </x:c>
      <x:c r="F260" s="105" t="n">
        <x:f>C260-C259</x:f>
        <x:v>5</x:v>
      </x:c>
      <x:c r="G260" s="106" t="n">
        <x:f>D260*INDEX('기본 맵 및 CM3'!$D$5:$D$8,'요약'!$B$5)</x:f>
        <x:v>85000</x:v>
      </x:c>
    </x:row>
  </x:sheetData>
  <x:mergeCells>
    <x:mergeCell ref="A1:K1"/>
    <x:mergeCell ref="A2:K2"/>
  </x:mergeCells>
  <x:pageMargins left="0.7" right="0.7" top="0.75" bottom="0.75" header="0.3" footer="0.3"/>
  <x:drawing xmlns:r="http://schemas.openxmlformats.org/officeDocument/2006/relationships" r:id="R9df37e1706e74912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6" hidden="0" customWidth="1"/>
    <x:col min="4" max="4" width="17" hidden="0" customWidth="1"/>
    <x:col min="5" max="5" width="15" hidden="0" customWidth="1"/>
    <x:col min="6" max="6" width="16" hidden="0" customWidth="1"/>
    <x:col min="7" max="7" width="14" hidden="0" customWidth="1"/>
    <x:col min="8" max="8" width="3" hidden="0" customWidth="1"/>
    <x:col min="9" max="9" width="18" hidden="0" customWidth="1"/>
    <x:col min="10" max="10" width="17" hidden="0" customWidth="1"/>
    <x:col min="11" max="11" width="12" hidden="0" customWidth="1"/>
    <x:col min="12" max="12" width="17" hidden="0" customWidth="1"/>
    <x:col min="13" max="13" width="14" hidden="0" customWidth="1"/>
    <x:col min="14" max="14" width="14" hidden="0" customWidth="1"/>
    <x:col min="15" max="15" width="11" hidden="0" customWidth="1"/>
    <x:col min="16" max="16" width="15" hidden="0" customWidth="1"/>
    <x:col min="17" max="17" width="19" hidden="0" customWidth="1"/>
  </x:cols>
  <x:sheetData>
    <x:row r="1" ht="34" customHeight="1">
      <x:c r="A1" s="4" t="str">
        <x:v>Sound1 계산 상수 및 코드 근거</x:v>
      </x:c>
      <x:c r="B1" s="4" t="str">
        <x:v>Sound1 계산 상수 및 코드 근거</x:v>
      </x:c>
      <x:c r="C1" s="4" t="str">
        <x:v>Sound1 계산 상수 및 코드 근거</x:v>
      </x:c>
      <x:c r="D1" s="4" t="str">
        <x:v>Sound1 계산 상수 및 코드 근거</x:v>
      </x:c>
      <x:c r="E1" s="4" t="str">
        <x:v>Sound1 계산 상수 및 코드 근거</x:v>
      </x:c>
      <x:c r="F1" s="4" t="str">
        <x:v>Sound1 계산 상수 및 코드 근거</x:v>
      </x:c>
      <x:c r="G1" s="4" t="str">
        <x:v>Sound1 계산 상수 및 코드 근거</x:v>
      </x:c>
      <x:c r="H1" s="4" t="str">
        <x:v>Sound1 계산 상수 및 코드 근거</x:v>
      </x:c>
      <x:c r="I1" s="4" t="str">
        <x:v>Sound1 계산 상수 및 코드 근거</x:v>
      </x:c>
      <x:c r="J1" s="4" t="str">
        <x:v>Sound1 계산 상수 및 코드 근거</x:v>
      </x:c>
      <x:c r="K1" s="4" t="str">
        <x:v>Sound1 계산 상수 및 코드 근거</x:v>
      </x:c>
      <x:c r="L1" s="4" t="str">
        <x:v>Sound1 계산 상수 및 코드 근거</x:v>
      </x:c>
      <x:c r="M1" s="4" t="str">
        <x:v>Sound1 계산 상수 및 코드 근거</x:v>
      </x:c>
      <x:c r="N1" s="4" t="str">
        <x:v>Sound1 계산 상수 및 코드 근거</x:v>
      </x:c>
      <x:c r="O1" s="4" t="str">
        <x:v>Sound1 계산 상수 및 코드 근거</x:v>
      </x:c>
      <x:c r="P1" s="4" t="str">
        <x:v>Sound1 계산 상수 및 코드 근거</x:v>
      </x:c>
      <x:c r="Q1" s="4" t="str">
        <x:v>Sound1 계산 상수 및 코드 근거</x:v>
      </x:c>
    </x:row>
    <x:row r="2">
      <x:c r="A2" s="7" t="str">
        <x:v>노란 셀은 사용자가 바꿀 수 있는 입력이며, 이 시트의 값은 현재 소스와 HEAR 레퍼런스에서 옮긴 고정 상수입니다.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 ht="24" customHeight="1">
      <x:c r="A3" s="10" t="str">
        <x:v>오디오 볼륨 및 AGC 상수</x:v>
      </x:c>
      <x:c r="B3" s="10" t="str">
        <x:v>오디오 볼륨 및 AGC 상수</x:v>
      </x:c>
      <x:c r="C3" s="10" t="str">
        <x:v>오디오 볼륨 및 AGC 상수</x:v>
      </x:c>
      <x:c r="D3" s="10" t="str">
        <x:v>오디오 볼륨 및 AGC 상수</x:v>
      </x:c>
      <x:c r="E3" s="10" t="str">
        <x:v>오디오 볼륨 및 AGC 상수</x:v>
      </x:c>
      <x:c r="F3" s="10" t="str">
        <x:v>오디오 볼륨 및 AGC 상수</x:v>
      </x:c>
      <x:c r="G3" s="10" t="str">
        <x:v>오디오 볼륨 및 AGC 상수</x:v>
      </x:c>
      <x:c r="I3" s="10" t="str">
        <x:v>자극 볼륨</x:v>
      </x:c>
      <x:c r="J3" s="10" t="str">
        <x:v>자극 볼륨</x:v>
      </x:c>
      <x:c r="O3" s="10" t="str">
        <x:v>32대역 FFT pass-bin</x:v>
      </x:c>
      <x:c r="P3" s="10" t="str">
        <x:v>32대역 FFT pass-bin</x:v>
      </x:c>
      <x:c r="Q3" s="10" t="str">
        <x:v>32대역 FFT pass-bin</x:v>
      </x:c>
    </x:row>
    <x:row r="4" ht="31" customHeight="1">
      <x:c r="A4" s="21" t="str">
        <x:v>오디오 볼륨</x:v>
      </x:c>
      <x:c r="B4" s="22" t="str">
        <x:v>감쇠 y절편 [dB]</x:v>
      </x:c>
      <x:c r="C4" s="22" t="str">
        <x:v>증폭 y절편 [dB]</x:v>
      </x:c>
      <x:c r="D4" s="22" t="str">
        <x:v>잡음 y절편 [dB]</x:v>
      </x:c>
      <x:c r="E4" s="22" t="str">
        <x:v>감쇠 기울기</x:v>
      </x:c>
      <x:c r="F4" s="22" t="str">
        <x:v>xMin 게인 [Q9.15]</x:v>
      </x:c>
      <x:c r="G4" s="23" t="str">
        <x:v>xMin 게인 [배]</x:v>
      </x:c>
      <x:c r="I4" s="21" t="str">
        <x:v>자극 볼륨</x:v>
      </x:c>
      <x:c r="J4" s="23" t="str">
        <x:v>비율 [Q2.22]</x:v>
      </x:c>
      <x:c r="O4" s="21" t="str">
        <x:v>FFT bin</x:v>
      </x:c>
      <x:c r="P4" s="22" t="str">
        <x:v>주파수 [Hz]</x:v>
      </x:c>
      <x:c r="Q4" s="23" t="str">
        <x:v>대역 번호 (1-based)</x:v>
      </x:c>
    </x:row>
    <x:row r="5">
      <x:c r="A5" s="51" t="n">
        <x:v>1</x:v>
      </x:c>
      <x:c r="B5" s="60" t="n">
        <x:v>-25.352935791015625</x:v>
      </x:c>
      <x:c r="C5" s="60" t="n">
        <x:v>0</x:v>
      </x:c>
      <x:c r="D5" s="60" t="n">
        <x:v>117.4970703125</x:v>
      </x:c>
      <x:c r="E5" s="60" t="n">
        <x:v>0.7324066162109375</x:v>
      </x:c>
      <x:c r="F5" s="52" t="n">
        <x:v>32768</x:v>
      </x:c>
      <x:c r="G5" s="63" t="n">
        <x:v>1</x:v>
      </x:c>
      <x:c r="I5" s="51" t="n">
        <x:v>1</x:v>
      </x:c>
      <x:c r="J5" s="53" t="n">
        <x:v>2936012</x:v>
      </x:c>
      <x:c r="O5" s="51" t="n">
        <x:v>0</x:v>
      </x:c>
      <x:c r="P5" s="93" t="n">
        <x:v>0</x:v>
      </x:c>
      <x:c r="Q5" s="53" t="n">
        <x:v>0</x:v>
      </x:c>
    </x:row>
    <x:row r="6">
      <x:c r="A6" s="54" t="n">
        <x:v>2</x:v>
      </x:c>
      <x:c r="B6" s="61" t="n">
        <x:v>-30.651275634765625</x:v>
      </x:c>
      <x:c r="C6" s="61" t="n">
        <x:v>1.650054931640625</x:v>
      </x:c>
      <x:c r="D6" s="61" t="n">
        <x:v>119.147216796875</x:v>
      </x:c>
      <x:c r="E6" s="61" t="n">
        <x:v>0.6590728759765625</x:v>
      </x:c>
      <x:c r="F6" s="55" t="n">
        <x:v>46955</x:v>
      </x:c>
      <x:c r="G6" s="64" t="n">
        <x:v>1.432952880859375</x:v>
      </x:c>
      <x:c r="I6" s="54" t="n">
        <x:v>2</x:v>
      </x:c>
      <x:c r="J6" s="56" t="n">
        <x:v>3355443</x:v>
      </x:c>
      <x:c r="O6" s="54" t="n">
        <x:v>1</x:v>
      </x:c>
      <x:c r="P6" s="94" t="n">
        <x:v>31.25</x:v>
      </x:c>
      <x:c r="Q6" s="56" t="n">
        <x:v>0</x:v>
      </x:c>
    </x:row>
    <x:row r="7">
      <x:c r="A7" s="54" t="n">
        <x:v>3</x:v>
      </x:c>
      <x:c r="B7" s="61" t="n">
        <x:v>-35.94963073730469</x:v>
      </x:c>
      <x:c r="C7" s="61" t="n">
        <x:v>3.3001251220703125</x:v>
      </x:c>
      <x:c r="D7" s="61" t="n">
        <x:v>120.797119140625</x:v>
      </x:c>
      <x:c r="E7" s="61" t="n">
        <x:v>0.5857391357421875</x:v>
      </x:c>
      <x:c r="F7" s="55" t="n">
        <x:v>68657</x:v>
      </x:c>
      <x:c r="G7" s="64" t="n">
        <x:v>2.095245361328125</x:v>
      </x:c>
      <x:c r="I7" s="54" t="n">
        <x:v>3</x:v>
      </x:c>
      <x:c r="J7" s="56" t="n">
        <x:v>3774873</x:v>
      </x:c>
      <x:c r="O7" s="54" t="n">
        <x:v>2</x:v>
      </x:c>
      <x:c r="P7" s="94" t="n">
        <x:v>62.5</x:v>
      </x:c>
      <x:c r="Q7" s="56" t="n">
        <x:v>0</x:v>
      </x:c>
    </x:row>
    <x:row r="8">
      <x:c r="A8" s="54" t="n">
        <x:v>4</x:v>
      </x:c>
      <x:c r="B8" s="61" t="n">
        <x:v>-41.24797058105469</x:v>
      </x:c>
      <x:c r="C8" s="61" t="n">
        <x:v>4.9501953125</x:v>
      </x:c>
      <x:c r="D8" s="61" t="n">
        <x:v>122.447265625</x:v>
      </x:c>
      <x:c r="E8" s="61" t="n">
        <x:v>0.5124053955078125</x:v>
      </x:c>
      <x:c r="F8" s="55" t="n">
        <x:v>100391</x:v>
      </x:c>
      <x:c r="G8" s="64" t="n">
        <x:v>3.063690185546875</x:v>
      </x:c>
      <x:c r="I8" s="57" t="n">
        <x:v>4</x:v>
      </x:c>
      <x:c r="J8" s="59" t="n">
        <x:v>4194304</x:v>
      </x:c>
      <x:c r="O8" s="54" t="n">
        <x:v>3</x:v>
      </x:c>
      <x:c r="P8" s="94" t="n">
        <x:v>93.75</x:v>
      </x:c>
      <x:c r="Q8" s="56" t="n">
        <x:v>0</x:v>
      </x:c>
    </x:row>
    <x:row r="9">
      <x:c r="A9" s="54" t="n">
        <x:v>5</x:v>
      </x:c>
      <x:c r="B9" s="61" t="n">
        <x:v>-46.54631042480469</x:v>
      </x:c>
      <x:c r="C9" s="61" t="n">
        <x:v>6.6002655029296875</x:v>
      </x:c>
      <x:c r="D9" s="61" t="n">
        <x:v>124.097412109375</x:v>
      </x:c>
      <x:c r="E9" s="61" t="n">
        <x:v>0.439056396484375</x:v>
      </x:c>
      <x:c r="F9" s="55" t="n">
        <x:v>146792</x:v>
      </x:c>
      <x:c r="G9" s="64" t="n">
        <x:v>4.479736328125</x:v>
      </x:c>
      <x:c r="O9" s="54" t="n">
        <x:v>4</x:v>
      </x:c>
      <x:c r="P9" s="94" t="n">
        <x:v>125</x:v>
      </x:c>
      <x:c r="Q9" s="56" t="n">
        <x:v>1</x:v>
      </x:c>
    </x:row>
    <x:row r="10" ht="24" customHeight="1">
      <x:c r="A10" s="54" t="n">
        <x:v>6</x:v>
      </x:c>
      <x:c r="B10" s="61" t="n">
        <x:v>-51.84466552734375</x:v>
      </x:c>
      <x:c r="C10" s="61" t="n">
        <x:v>8.250335693359375</x:v>
      </x:c>
      <x:c r="D10" s="61" t="n">
        <x:v>125.747314453125</x:v>
      </x:c>
      <x:c r="E10" s="61" t="n">
        <x:v>0.36572265625</x:v>
      </x:c>
      <x:c r="F10" s="55" t="n">
        <x:v>214639</x:v>
      </x:c>
      <x:c r="G10" s="64" t="n">
        <x:v>6.550262451171875</x:v>
      </x:c>
      <x:c r="I10" s="10" t="str">
        <x:v>자극 DAC (ISD 1.1.2)</x:v>
      </x:c>
      <x:c r="J10" s="10" t="str">
        <x:v>자극 DAC (ISD 1.1.2)</x:v>
      </x:c>
      <x:c r="K10" s="10" t="str">
        <x:v>자극 DAC (ISD 1.1.2)</x:v>
      </x:c>
      <x:c r="L10" s="10" t="str">
        <x:v>자극 DAC (ISD 1.1.2)</x:v>
      </x:c>
      <x:c r="M10" s="10" t="str">
        <x:v>자극 DAC (ISD 1.1.2)</x:v>
      </x:c>
      <x:c r="N10" s="10" t="str">
        <x:v>자극 DAC (ISD 1.1.2)</x:v>
      </x:c>
      <x:c r="O10" s="54" t="n">
        <x:v>5</x:v>
      </x:c>
      <x:c r="P10" s="94" t="n">
        <x:v>156.25</x:v>
      </x:c>
      <x:c r="Q10" s="56" t="n">
        <x:v>2</x:v>
      </x:c>
    </x:row>
    <x:row r="11" ht="31" customHeight="1">
      <x:c r="A11" s="54" t="n">
        <x:v>7</x:v>
      </x:c>
      <x:c r="B11" s="61" t="n">
        <x:v>-57.14300537109375</x:v>
      </x:c>
      <x:c r="C11" s="61" t="n">
        <x:v>9.900405883789062</x:v>
      </x:c>
      <x:c r="D11" s="61" t="n">
        <x:v>127.3974609375</x:v>
      </x:c>
      <x:c r="E11" s="61" t="n">
        <x:v>0.292388916015625</x:v>
      </x:c>
      <x:c r="F11" s="55" t="n">
        <x:v>313846</x:v>
      </x:c>
      <x:c r="G11" s="64" t="n">
        <x:v>9.57781982421875</x:v>
      </x:c>
      <x:c r="I11" s="21" t="str">
        <x:v>코드</x:v>
      </x:c>
      <x:c r="J11" s="22" t="str">
        <x:v>이름</x:v>
      </x:c>
      <x:c r="K11" s="22" t="str">
        <x:v>기울기 [uA/level]</x:v>
      </x:c>
      <x:c r="L11" s="22" t="str">
        <x:v>기울기 [Q5.12]</x:v>
      </x:c>
      <x:c r="M11" s="22" t="str">
        <x:v>포화 [uA]</x:v>
      </x:c>
      <x:c r="N11" s="23" t="str">
        <x:v>역수 [Q1.15]</x:v>
      </x:c>
      <x:c r="O11" s="54" t="n">
        <x:v>6</x:v>
      </x:c>
      <x:c r="P11" s="94" t="n">
        <x:v>187.5</x:v>
      </x:c>
      <x:c r="Q11" s="56" t="n">
        <x:v>3</x:v>
      </x:c>
    </x:row>
    <x:row r="12">
      <x:c r="A12" s="54" t="n">
        <x:v>8</x:v>
      </x:c>
      <x:c r="B12" s="61" t="n">
        <x:v>-62.44136047363281</x:v>
      </x:c>
      <x:c r="C12" s="61" t="n">
        <x:v>11.550460815429688</x:v>
      </x:c>
      <x:c r="D12" s="61" t="n">
        <x:v>129.047607421875</x:v>
      </x:c>
      <x:c r="E12" s="61" t="n">
        <x:v>0.21905517578125</x:v>
      </x:c>
      <x:c r="F12" s="55" t="n">
        <x:v>458905</x:v>
      </x:c>
      <x:c r="G12" s="64" t="n">
        <x:v>14.004669189453125</x:v>
      </x:c>
      <x:c r="I12" s="51" t="n">
        <x:v>0</x:v>
      </x:c>
      <x:c r="J12" s="52" t="str">
        <x:v>A</x:v>
      </x:c>
      <x:c r="K12" s="52" t="n">
        <x:v>1.57</x:v>
      </x:c>
      <x:c r="L12" s="52" t="n">
        <x:v>6430</x:v>
      </x:c>
      <x:c r="M12" s="52" t="n">
        <x:v>400</x:v>
      </x:c>
      <x:c r="N12" s="53" t="n">
        <x:v>20871</x:v>
      </x:c>
      <x:c r="O12" s="54" t="n">
        <x:v>7</x:v>
      </x:c>
      <x:c r="P12" s="94" t="n">
        <x:v>218.75</x:v>
      </x:c>
      <x:c r="Q12" s="56" t="n">
        <x:v>4</x:v>
      </x:c>
    </x:row>
    <x:row r="13">
      <x:c r="A13" s="54" t="n">
        <x:v>9</x:v>
      </x:c>
      <x:c r="B13" s="61" t="n">
        <x:v>-67.73970031738281</x:v>
      </x:c>
      <x:c r="C13" s="61" t="n">
        <x:v>13.200531005859375</x:v>
      </x:c>
      <x:c r="D13" s="61" t="n">
        <x:v>130.697509765625</x:v>
      </x:c>
      <x:c r="E13" s="61" t="n">
        <x:v>0.145721435546875</x:v>
      </x:c>
      <x:c r="F13" s="55" t="n">
        <x:v>671011</x:v>
      </x:c>
      <x:c r="G13" s="64" t="n">
        <x:v>20.477630615234375</x:v>
      </x:c>
      <x:c r="I13" s="54" t="n">
        <x:v>1</x:v>
      </x:c>
      <x:c r="J13" s="55" t="str">
        <x:v>B</x:v>
      </x:c>
      <x:c r="K13" s="55" t="n">
        <x:v>3.15</x:v>
      </x:c>
      <x:c r="L13" s="55" t="n">
        <x:v>12902</x:v>
      </x:c>
      <x:c r="M13" s="55" t="n">
        <x:v>803</x:v>
      </x:c>
      <x:c r="N13" s="56" t="n">
        <x:v>10402</x:v>
      </x:c>
      <x:c r="O13" s="54" t="n">
        <x:v>8</x:v>
      </x:c>
      <x:c r="P13" s="94" t="n">
        <x:v>250</x:v>
      </x:c>
      <x:c r="Q13" s="56" t="n">
        <x:v>5</x:v>
      </x:c>
    </x:row>
    <x:row r="14">
      <x:c r="A14" s="57" t="n">
        <x:v>10</x:v>
      </x:c>
      <x:c r="B14" s="62" t="n">
        <x:v>-73.03804016113281</x:v>
      </x:c>
      <x:c r="C14" s="62" t="n">
        <x:v>14.850601196289062</x:v>
      </x:c>
      <x:c r="D14" s="62" t="n">
        <x:v>132.34765625</x:v>
      </x:c>
      <x:c r="E14" s="62" t="n">
        <x:v>0.0723876953125</x:v>
      </x:c>
      <x:c r="F14" s="58" t="n">
        <x:v>981153</x:v>
      </x:c>
      <x:c r="G14" s="65" t="n">
        <x:v>29.942413330078125</x:v>
      </x:c>
      <x:c r="I14" s="54" t="n">
        <x:v>2</x:v>
      </x:c>
      <x:c r="J14" s="55" t="str">
        <x:v>C</x:v>
      </x:c>
      <x:c r="K14" s="55" t="n">
        <x:v>4.72</x:v>
      </x:c>
      <x:c r="L14" s="55" t="n">
        <x:v>19333</x:v>
      </x:c>
      <x:c r="M14" s="55" t="n">
        <x:v>1203</x:v>
      </x:c>
      <x:c r="N14" s="56" t="n">
        <x:v>6942</x:v>
      </x:c>
      <x:c r="O14" s="54" t="n">
        <x:v>9</x:v>
      </x:c>
      <x:c r="P14" s="94" t="n">
        <x:v>281.25</x:v>
      </x:c>
      <x:c r="Q14" s="56" t="n">
        <x:v>6</x:v>
      </x:c>
    </x:row>
    <x:row r="15">
      <x:c r="I15" s="57" t="n">
        <x:v>3</x:v>
      </x:c>
      <x:c r="J15" s="58" t="str">
        <x:v>D</x:v>
      </x:c>
      <x:c r="K15" s="58" t="n">
        <x:v>6.3</x:v>
      </x:c>
      <x:c r="L15" s="58" t="n">
        <x:v>25804</x:v>
      </x:c>
      <x:c r="M15" s="58" t="n">
        <x:v>1606</x:v>
      </x:c>
      <x:c r="N15" s="59" t="n">
        <x:v>5201</x:v>
      </x:c>
      <x:c r="O15" s="54" t="n">
        <x:v>10</x:v>
      </x:c>
      <x:c r="P15" s="94" t="n">
        <x:v>312.5</x:v>
      </x:c>
      <x:c r="Q15" s="56" t="n">
        <x:v>6</x:v>
      </x:c>
    </x:row>
    <x:row r="16">
      <x:c r="O16" s="54" t="n">
        <x:v>11</x:v>
      </x:c>
      <x:c r="P16" s="94" t="n">
        <x:v>343.75</x:v>
      </x:c>
      <x:c r="Q16" s="56" t="n">
        <x:v>7</x:v>
      </x:c>
    </x:row>
    <x:row r="17" ht="24" customHeight="1">
      <x:c r="A17" s="10" t="str">
        <x:v>일반 상수</x:v>
      </x:c>
      <x:c r="B17" s="10" t="str">
        <x:v>일반 상수</x:v>
      </x:c>
      <x:c r="C17" s="10" t="str">
        <x:v>일반 상수</x:v>
      </x:c>
      <x:c r="D17" s="10" t="str">
        <x:v>일반 상수</x:v>
      </x:c>
      <x:c r="E17" s="10" t="str">
        <x:v>일반 상수</x:v>
      </x:c>
      <x:c r="F17" s="10" t="str">
        <x:v>일반 상수</x:v>
      </x:c>
      <x:c r="G17" s="10" t="str">
        <x:v>일반 상수</x:v>
      </x:c>
      <x:c r="I17" s="10" t="str">
        <x:v>Offset DAC (ISD 1.1.2)</x:v>
      </x:c>
      <x:c r="J17" s="10" t="str">
        <x:v>Offset DAC (ISD 1.1.2)</x:v>
      </x:c>
      <x:c r="K17" s="10" t="str">
        <x:v>Offset DAC (ISD 1.1.2)</x:v>
      </x:c>
      <x:c r="L17" s="10" t="str">
        <x:v>Offset DAC (ISD 1.1.2)</x:v>
      </x:c>
      <x:c r="M17" s="10" t="str">
        <x:v>Offset DAC (ISD 1.1.2)</x:v>
      </x:c>
      <x:c r="N17" s="10" t="str">
        <x:v>Offset DAC (ISD 1.1.2)</x:v>
      </x:c>
      <x:c r="O17" s="54" t="n">
        <x:v>12</x:v>
      </x:c>
      <x:c r="P17" s="94" t="n">
        <x:v>375</x:v>
      </x:c>
      <x:c r="Q17" s="56" t="n">
        <x:v>7</x:v>
      </x:c>
    </x:row>
    <x:row r="18" ht="31" customHeight="1">
      <x:c r="A18" s="84" t="str">
        <x:v>ADC 상한</x:v>
      </x:c>
      <x:c r="B18" s="76" t="n">
        <x:v>262143</x:v>
      </x:c>
      <x:c r="C18" s="77" t="str">
        <x:v>maxAudioInput 산술 상한</x:v>
      </x:c>
      <x:c r="I18" s="21" t="str">
        <x:v>코드</x:v>
      </x:c>
      <x:c r="J18" s="22" t="str">
        <x:v>이름</x:v>
      </x:c>
      <x:c r="K18" s="22" t="str">
        <x:v>기울기 [uA/level]</x:v>
      </x:c>
      <x:c r="L18" s="22" t="str">
        <x:v>기울기 [Q5.12]</x:v>
      </x:c>
      <x:c r="M18" s="22" t="str">
        <x:v>포화 [uA]</x:v>
      </x:c>
      <x:c r="N18" s="23" t="str">
        <x:v>역수 [Q1.15]</x:v>
      </x:c>
      <x:c r="O18" s="54" t="n">
        <x:v>13</x:v>
      </x:c>
      <x:c r="P18" s="94" t="n">
        <x:v>406.25</x:v>
      </x:c>
      <x:c r="Q18" s="56" t="n">
        <x:v>8</x:v>
      </x:c>
    </x:row>
    <x:row r="19">
      <x:c r="A19" s="85" t="str">
        <x:v>ADC 정규화 기준</x:v>
      </x:c>
      <x:c r="B19" s="79" t="n">
        <x:v>120</x:v>
      </x:c>
      <x:c r="C19" s="80" t="str">
        <x:v>dB SPL</x:v>
      </x:c>
      <x:c r="I19" s="51" t="n">
        <x:v>0</x:v>
      </x:c>
      <x:c r="J19" s="52" t="str">
        <x:v>A</x:v>
      </x:c>
      <x:c r="K19" s="52" t="n">
        <x:v>2.27</x:v>
      </x:c>
      <x:c r="L19" s="52" t="n">
        <x:v>9297</x:v>
      </x:c>
      <x:c r="M19" s="52" t="n">
        <x:v>295</x:v>
      </x:c>
      <x:c r="N19" s="53" t="n">
        <x:v>14435</x:v>
      </x:c>
      <x:c r="O19" s="54" t="n">
        <x:v>14</x:v>
      </x:c>
      <x:c r="P19" s="94" t="n">
        <x:v>437.5</x:v>
      </x:c>
      <x:c r="Q19" s="56" t="n">
        <x:v>8</x:v>
      </x:c>
    </x:row>
    <x:row r="20">
      <x:c r="A20" s="85" t="str">
        <x:v>완제품 기구 감쇠</x:v>
      </x:c>
      <x:c r="B20" s="79" t="n">
        <x:v>8.293</x:v>
      </x:c>
      <x:c r="C20" s="80" t="str">
        <x:v>dB</x:v>
      </x:c>
      <x:c r="I20" s="57" t="n">
        <x:v>1</x:v>
      </x:c>
      <x:c r="J20" s="58" t="str">
        <x:v>B</x:v>
      </x:c>
      <x:c r="K20" s="58" t="n">
        <x:v>4.56</x:v>
      </x:c>
      <x:c r="L20" s="58" t="n">
        <x:v>18677</x:v>
      </x:c>
      <x:c r="M20" s="58" t="n">
        <x:v>592</x:v>
      </x:c>
      <x:c r="N20" s="59" t="n">
        <x:v>7185</x:v>
      </x:c>
      <x:c r="O20" s="54" t="n">
        <x:v>15</x:v>
      </x:c>
      <x:c r="P20" s="94" t="n">
        <x:v>468.75</x:v>
      </x:c>
      <x:c r="Q20" s="56" t="n">
        <x:v>9</x:v>
      </x:c>
    </x:row>
    <x:row r="21">
      <x:c r="A21" s="85" t="str">
        <x:v>Noise gate</x:v>
      </x:c>
      <x:c r="B21" s="79" t="n">
        <x:v>-117.4972</x:v>
      </x:c>
      <x:c r="C21" s="80" t="str">
        <x:v>dB</x:v>
      </x:c>
      <x:c r="O21" s="54" t="n">
        <x:v>16</x:v>
      </x:c>
      <x:c r="P21" s="94" t="n">
        <x:v>500</x:v>
      </x:c>
      <x:c r="Q21" s="56" t="n">
        <x:v>9</x:v>
      </x:c>
    </x:row>
    <x:row r="22">
      <x:c r="A22" s="85" t="str">
        <x:v>Rotation point</x:v>
      </x:c>
      <x:c r="B22" s="79" t="n">
        <x:v>-94.7472</x:v>
      </x:c>
      <x:c r="C22" s="80" t="str">
        <x:v>dB</x:v>
      </x:c>
      <x:c r="O22" s="54" t="n">
        <x:v>17</x:v>
      </x:c>
      <x:c r="P22" s="94" t="n">
        <x:v>531.25</x:v>
      </x:c>
      <x:c r="Q22" s="56" t="n">
        <x:v>10</x:v>
      </x:c>
    </x:row>
    <x:row r="23" ht="24" customHeight="1">
      <x:c r="A23" s="85" t="str">
        <x:v>로그 매핑 p</x:v>
      </x:c>
      <x:c r="B23" s="79" t="n">
        <x:v>0.15</x:v>
      </x:c>
      <x:c r="C23" s="80" t="str">
        <x:v>무차원</x:v>
      </x:c>
      <x:c r="I23" s="10" t="str">
        <x:v>512점 Hann 주파수 오프셋 보정</x:v>
      </x:c>
      <x:c r="J23" s="10" t="str">
        <x:v>512점 Hann 주파수 오프셋 보정</x:v>
      </x:c>
      <x:c r="O23" s="54" t="n">
        <x:v>18</x:v>
      </x:c>
      <x:c r="P23" s="94" t="n">
        <x:v>562.5</x:v>
      </x:c>
      <x:c r="Q23" s="56" t="n">
        <x:v>10</x:v>
      </x:c>
    </x:row>
    <x:row r="24" ht="31" customHeight="1">
      <x:c r="A24" s="85" t="str">
        <x:v>xMin</x:v>
      </x:c>
      <x:c r="B24" s="79" t="n">
        <x:v>8</x:v>
      </x:c>
      <x:c r="C24" s="80" t="str">
        <x:v>기본 맵</x:v>
      </x:c>
      <x:c r="I24" s="21" t="str">
        <x:v>bin 오프셋 [0~0.5]</x:v>
      </x:c>
      <x:c r="J24" s="23" t="str">
        <x:v>정규화 크기</x:v>
      </x:c>
      <x:c r="O24" s="54" t="n">
        <x:v>19</x:v>
      </x:c>
      <x:c r="P24" s="94" t="n">
        <x:v>593.75</x:v>
      </x:c>
      <x:c r="Q24" s="56" t="n">
        <x:v>11</x:v>
      </x:c>
    </x:row>
    <x:row r="25">
      <x:c r="A25" s="85" t="str">
        <x:v>xMax</x:v>
      </x:c>
      <x:c r="B25" s="79" t="n">
        <x:v>21892</x:v>
      </x:c>
      <x:c r="C25" s="80" t="str">
        <x:v>기본 맵</x:v>
      </x:c>
      <x:c r="I25" s="87" t="n">
        <x:v>0</x:v>
      </x:c>
      <x:c r="J25" s="88" t="n">
        <x:v>0.9980466396954212</x:v>
      </x:c>
      <x:c r="O25" s="54" t="n">
        <x:v>20</x:v>
      </x:c>
      <x:c r="P25" s="94" t="n">
        <x:v>625</x:v>
      </x:c>
      <x:c r="Q25" s="56" t="n">
        <x:v>11</x:v>
      </x:c>
    </x:row>
    <x:row r="26">
      <x:c r="A26" s="85" t="str">
        <x:v>FFT 크기</x:v>
      </x:c>
      <x:c r="B26" s="79" t="n">
        <x:v>512</x:v>
      </x:c>
      <x:c r="C26" s="80" t="str">
        <x:v>sample</x:v>
      </x:c>
      <x:c r="I26" s="89" t="n">
        <x:v>0.01</x:v>
      </x:c>
      <x:c r="J26" s="90" t="n">
        <x:v>0.9979825246048114</x:v>
      </x:c>
      <x:c r="O26" s="54" t="n">
        <x:v>21</x:v>
      </x:c>
      <x:c r="P26" s="94" t="n">
        <x:v>656.25</x:v>
      </x:c>
      <x:c r="Q26" s="56" t="n">
        <x:v>11</x:v>
      </x:c>
    </x:row>
    <x:row r="27">
      <x:c r="A27" s="85" t="str">
        <x:v>표본화 주파수</x:v>
      </x:c>
      <x:c r="B27" s="79" t="n">
        <x:v>16000</x:v>
      </x:c>
      <x:c r="C27" s="80" t="str">
        <x:v>Hz</x:v>
      </x:c>
      <x:c r="I27" s="89" t="n">
        <x:v>0.02</x:v>
      </x:c>
      <x:c r="J27" s="90" t="n">
        <x:v>0.9977902001928209</x:v>
      </x:c>
      <x:c r="O27" s="54" t="n">
        <x:v>22</x:v>
      </x:c>
      <x:c r="P27" s="94" t="n">
        <x:v>687.5</x:v>
      </x:c>
      <x:c r="Q27" s="56" t="n">
        <x:v>12</x:v>
      </x:c>
    </x:row>
    <x:row r="28">
      <x:c r="A28" s="85" t="str">
        <x:v>FFT bin 간격</x:v>
      </x:c>
      <x:c r="B28" s="79" t="n">
        <x:v>31.25</x:v>
      </x:c>
      <x:c r="C28" s="80" t="str">
        <x:v>Hz</x:v>
      </x:c>
      <x:c r="I28" s="89" t="n">
        <x:v>0.03</x:v>
      </x:c>
      <x:c r="J28" s="90" t="n">
        <x:v>0.997469725916657</x:v>
      </x:c>
      <x:c r="O28" s="54" t="n">
        <x:v>23</x:v>
      </x:c>
      <x:c r="P28" s="94" t="n">
        <x:v>718.75</x:v>
      </x:c>
      <x:c r="Q28" s="56" t="n">
        <x:v>12</x:v>
      </x:c>
    </x:row>
    <x:row r="29">
      <x:c r="A29" s="85" t="str">
        <x:v>기본 mute mode</x:v>
      </x:c>
      <x:c r="B29" s="79" t="n">
        <x:v>2</x:v>
      </x:c>
      <x:c r="C29" s="80" t="str">
        <x:v>2=비활성</x:v>
      </x:c>
      <x:c r="I29" s="89" t="n">
        <x:v>0.04</x:v>
      </x:c>
      <x:c r="J29" s="90" t="n">
        <x:v>0.9970212008411474</x:v>
      </x:c>
      <x:c r="O29" s="54" t="n">
        <x:v>24</x:v>
      </x:c>
      <x:c r="P29" s="94" t="n">
        <x:v>750</x:v>
      </x:c>
      <x:c r="Q29" s="56" t="n">
        <x:v>12</x:v>
      </x:c>
    </x:row>
    <x:row r="30">
      <x:c r="A30" s="86" t="str">
        <x:v>기본 T offset</x:v>
      </x:c>
      <x:c r="B30" s="82" t="n">
        <x:v>2</x:v>
      </x:c>
      <x:c r="C30" s="83" t="str">
        <x:v>PCM level</x:v>
      </x:c>
      <x:c r="I30" s="89" t="n">
        <x:v>0.05</x:v>
      </x:c>
      <x:c r="J30" s="90" t="n">
        <x:v>0.9964447635962235</x:v>
      </x:c>
      <x:c r="O30" s="54" t="n">
        <x:v>25</x:v>
      </x:c>
      <x:c r="P30" s="94" t="n">
        <x:v>781.25</x:v>
      </x:c>
      <x:c r="Q30" s="56" t="n">
        <x:v>13</x:v>
      </x:c>
    </x:row>
    <x:row r="31">
      <x:c r="I31" s="89" t="n">
        <x:v>0.06</x:v>
      </x:c>
      <x:c r="J31" s="90" t="n">
        <x:v>0.9957405923174513</x:v>
      </x:c>
      <x:c r="O31" s="54" t="n">
        <x:v>26</x:v>
      </x:c>
      <x:c r="P31" s="94" t="n">
        <x:v>812.5</x:v>
      </x:c>
      <x:c r="Q31" s="56" t="n">
        <x:v>13</x:v>
      </x:c>
    </x:row>
    <x:row r="32">
      <x:c r="I32" s="89" t="n">
        <x:v>0.07</x:v>
      </x:c>
      <x:c r="J32" s="90" t="n">
        <x:v>0.9949089045696334</x:v>
      </x:c>
      <x:c r="O32" s="54" t="n">
        <x:v>27</x:v>
      </x:c>
      <x:c r="P32" s="94" t="n">
        <x:v>843.75</x:v>
      </x:c>
      <x:c r="Q32" s="56" t="n">
        <x:v>13</x:v>
      </x:c>
    </x:row>
    <x:row r="33" ht="24" customHeight="1">
      <x:c r="A33" s="10" t="str">
        <x:v>산출 근거</x:v>
      </x:c>
      <x:c r="B33" s="10" t="str">
        <x:v>산출 근거</x:v>
      </x:c>
      <x:c r="C33" s="10" t="str">
        <x:v>산출 근거</x:v>
      </x:c>
      <x:c r="D33" s="10" t="str">
        <x:v>산출 근거</x:v>
      </x:c>
      <x:c r="E33" s="10" t="str">
        <x:v>산출 근거</x:v>
      </x:c>
      <x:c r="F33" s="10" t="str">
        <x:v>산출 근거</x:v>
      </x:c>
      <x:c r="G33" s="10" t="str">
        <x:v>산출 근거</x:v>
      </x:c>
      <x:c r="I33" s="89" t="n">
        <x:v>0.08</x:v>
      </x:c>
      <x:c r="J33" s="90" t="n">
        <x:v>0.9939499572535135</x:v>
      </x:c>
      <x:c r="O33" s="54" t="n">
        <x:v>28</x:v>
      </x:c>
      <x:c r="P33" s="94" t="n">
        <x:v>875</x:v>
      </x:c>
      <x:c r="Q33" s="56" t="n">
        <x:v>14</x:v>
      </x:c>
    </x:row>
    <x:row r="34">
      <x:c r="A34" s="84" t="str">
        <x:v>기본 맵</x:v>
      </x:c>
      <x:c r="B34" s="76" t="str">
        <x:v>src/2__cm3/Gen1_5/FS/ci_map.c:531-769</x:v>
      </x:c>
      <x:c r="C34" s="77" t="str">
        <x:v>프로그램 1~4의 전략, 펄스폭, 대역, T/C, xMin/xMax</x:v>
      </x:c>
      <x:c r="I34" s="89" t="n">
        <x:v>0.09</x:v>
      </x:c>
      <x:c r="J34" s="90" t="n">
        <x:v>0.9928640464956264</x:v>
      </x:c>
      <x:c r="O34" s="54" t="n">
        <x:v>29</x:v>
      </x:c>
      <x:c r="P34" s="94" t="n">
        <x:v>906.25</x:v>
      </x:c>
      <x:c r="Q34" s="56" t="n">
        <x:v>14</x:v>
      </x:c>
    </x:row>
    <x:row r="35">
      <x:c r="A35" s="85" t="str">
        <x:v>CM3 자극 계산</x:v>
      </x:c>
      <x:c r="B35" s="79" t="str">
        <x:v>src/2__cm3/Cortex-M3-src/signalProcessing/stimulationParaCal.c:32-626</x:v>
      </x:c>
      <x:c r="C35" s="80" t="str">
        <x:v>프레임 수, DAC 선택, offset, T/C 255</x:v>
      </x:c>
      <x:c r="I35" s="89" t="n">
        <x:v>0.1</x:v>
      </x:c>
      <x:c r="J35" s="90" t="n">
        <x:v>0.991651507521389</x:v>
      </x:c>
      <x:c r="O35" s="54" t="n">
        <x:v>30</x:v>
      </x:c>
      <x:c r="P35" s="94" t="n">
        <x:v>937.5</x:v>
      </x:c>
      <x:c r="Q35" s="56" t="n">
        <x:v>14</x:v>
      </x:c>
    </x:row>
    <x:row r="36">
      <x:c r="A36" s="85" t="str">
        <x:v>ISD 1.1.2 상수</x:v>
      </x:c>
      <x:c r="B36" s="79" t="str">
        <x:v>src/2__cm3/99_includeBoard/isd_ver1_1_2.h:65-125</x:v>
      </x:c>
      <x:c r="C36" s="80" t="str">
        <x:v>DAC 기울기, 포화값, Q-format 역수</x:v>
      </x:c>
      <x:c r="I36" s="89" t="n">
        <x:v>0.11</x:v>
      </x:c>
      <x:c r="J36" s="90" t="n">
        <x:v>0.990312714511425</x:v>
      </x:c>
      <x:c r="O36" s="54" t="n">
        <x:v>31</x:v>
      </x:c>
      <x:c r="P36" s="94" t="n">
        <x:v>968.75</x:v>
      </x:c>
      <x:c r="Q36" s="56" t="n">
        <x:v>14</x:v>
      </x:c>
    </x:row>
    <x:row r="37">
      <x:c r="A37" s="85" t="str">
        <x:v>CFX AGC</x:v>
      </x:c>
      <x:c r="B37" s="79" t="str">
        <x:v>src/1__cfx/signalProcessing/agc.c:92-335</x:v>
      </x:c>
      <x:c r="C37" s="80" t="str">
        <x:v>입력 최대값, 정상상태 이득, AGC 출력</x:v>
      </x:c>
      <x:c r="I37" s="89" t="n">
        <x:v>0.12</x:v>
      </x:c>
      <x:c r="J37" s="90" t="n">
        <x:v>0.9888480804412902</x:v>
      </x:c>
      <x:c r="O37" s="54" t="n">
        <x:v>32</x:v>
      </x:c>
      <x:c r="P37" s="94" t="n">
        <x:v>1000</x:v>
      </x:c>
      <x:c r="Q37" s="56" t="n">
        <x:v>15</x:v>
      </x:c>
    </x:row>
    <x:row r="38">
      <x:c r="A38" s="85" t="str">
        <x:v>주파수 분석</x:v>
      </x:c>
      <x:c r="B38" s="79" t="str">
        <x:v>src/1__cfx/signalProcessing/FrequencyAnalysis.c:45-106</x:v>
      </x:c>
      <x:c r="C38" s="80" t="str">
        <x:v>vMag 대역 최대 및 &gt;&gt;4 스케일</x:v>
      </x:c>
      <x:c r="I38" s="89" t="n">
        <x:v>0.13</x:v>
      </x:c>
      <x:c r="J38" s="90" t="n">
        <x:v>0.9872580569045972</x:v>
      </x:c>
      <x:c r="O38" s="54" t="n">
        <x:v>33</x:v>
      </x:c>
      <x:c r="P38" s="94" t="n">
        <x:v>1031.25</x:v>
      </x:c>
      <x:c r="Q38" s="56" t="n">
        <x:v>15</x:v>
      </x:c>
    </x:row>
    <x:row r="39">
      <x:c r="A39" s="85" t="str">
        <x:v>로그 매핑</x:v>
      </x:c>
      <x:c r="B39" s="79" t="str">
        <x:v>src/1__cfx/signalProcessing/nonlinearMapping.c:57-675</x:v>
      </x:c>
      <x:c r="C39" s="80" t="str">
        <x:v>볼륨, x^p, A/B, PCM Amplitude</x:v>
      </x:c>
      <x:c r="I39" s="89" t="n">
        <x:v>0.14</x:v>
      </x:c>
      <x:c r="J39" s="90" t="n">
        <x:v>0.9855431339196791</x:v>
      </x:c>
      <x:c r="O39" s="54" t="n">
        <x:v>34</x:v>
      </x:c>
      <x:c r="P39" s="94" t="n">
        <x:v>1062.5</x:v>
      </x:c>
      <x:c r="Q39" s="56" t="n">
        <x:v>15</x:v>
      </x:c>
    </x:row>
    <x:row r="40">
      <x:c r="A40" s="85" t="str">
        <x:v>PCM 패킷</x:v>
      </x:c>
      <x:c r="B40" s="79" t="str">
        <x:v>src/1__cfx/signalProcessing/stimulationStrategy.c</x:v>
      </x:c>
      <x:c r="C40" s="80" t="str">
        <x:v>Amplitude 8비트와 전극 채널 결합</x:v>
      </x:c>
      <x:c r="I40" s="89" t="n">
        <x:v>0.15</x:v>
      </x:c>
      <x:c r="J40" s="90" t="n">
        <x:v>0.9837038397198616</x:v>
      </x:c>
      <x:c r="O40" s="54" t="n">
        <x:v>35</x:v>
      </x:c>
      <x:c r="P40" s="94" t="n">
        <x:v>1093.75</x:v>
      </x:c>
      <x:c r="Q40" s="56" t="n">
        <x:v>15</x:v>
      </x:c>
    </x:row>
    <x:row r="41">
      <x:c r="A41" s="85" t="str">
        <x:v>Hann/pass-bin</x:v>
      </x:c>
      <x:c r="B41" s="79" t="str">
        <x:v>src/2__cm3/Gen1_5/FS/ci_fft.c:540-617</x:v>
      </x:c>
      <x:c r="C41" s="80" t="str">
        <x:v>32대역 pass-bin과 512점 Hann 계수</x:v>
      </x:c>
      <x:c r="I41" s="89" t="n">
        <x:v>0.16</x:v>
      </x:c>
      <x:c r="J41" s="90" t="n">
        <x:v>0.9817407405275075</x:v>
      </x:c>
      <x:c r="O41" s="54" t="n">
        <x:v>36</x:v>
      </x:c>
      <x:c r="P41" s="94" t="n">
        <x:v>1125</x:v>
      </x:c>
      <x:c r="Q41" s="56" t="n">
        <x:v>16</x:v>
      </x:c>
    </x:row>
    <x:row r="42">
      <x:c r="A42" s="85" t="str">
        <x:v>HEAR</x:v>
      </x:c>
      <x:c r="B42" s="79" t="str">
        <x:v>HEAR Configurable Accelerator Reference Manual 4.14, 4.38</x:v>
      </x:c>
      <x:c r="C42" s="80" t="str">
        <x:v>Win_DFT_R_Forward BFP, vMag 2.22 및 LUT sqrt 근사</x:v>
      </x:c>
      <x:c r="I42" s="89" t="n">
        <x:v>0.17</x:v>
      </x:c>
      <x:c r="J42" s="90" t="n">
        <x:v>0.9796544403118312</x:v>
      </x:c>
      <x:c r="O42" s="54" t="n">
        <x:v>37</x:v>
      </x:c>
      <x:c r="P42" s="94" t="n">
        <x:v>1156.25</x:v>
      </x:c>
      <x:c r="Q42" s="56" t="n">
        <x:v>16</x:v>
      </x:c>
    </x:row>
    <x:row r="43">
      <x:c r="A43" s="86" t="str">
        <x:v>ADC 모델</x:v>
      </x:c>
      <x:c r="B43" s="82" t="str">
        <x:v>docs/참고/인허가/사운드1/Sound1 입력 음압 대비 ADC 출력 산출 근거.md</x:v>
      </x:c>
      <x:c r="C43" s="83" t="str">
        <x:v>완제품 감쇠 8.293 dB와 dB SPL-ADC 식</x:v>
      </x:c>
      <x:c r="I43" s="89" t="n">
        <x:v>0.18</x:v>
      </x:c>
      <x:c r="J43" s="90" t="n">
        <x:v>0.9774455805307898</x:v>
      </x:c>
      <x:c r="O43" s="54" t="n">
        <x:v>38</x:v>
      </x:c>
      <x:c r="P43" s="94" t="n">
        <x:v>1187.5</x:v>
      </x:c>
      <x:c r="Q43" s="56" t="n">
        <x:v>16</x:v>
      </x:c>
    </x:row>
    <x:row r="44">
      <x:c r="I44" s="89" t="n">
        <x:v>0.19</x:v>
      </x:c>
      <x:c r="J44" s="90" t="n">
        <x:v>0.9751148398569712</x:v>
      </x:c>
      <x:c r="O44" s="54" t="n">
        <x:v>39</x:v>
      </x:c>
      <x:c r="P44" s="94" t="n">
        <x:v>1218.75</x:v>
      </x:c>
      <x:c r="Q44" s="56" t="n">
        <x:v>16</x:v>
      </x:c>
    </x:row>
    <x:row r="45">
      <x:c r="I45" s="89" t="n">
        <x:v>0.2</x:v>
      </x:c>
      <x:c r="J45" s="90" t="n">
        <x:v>0.9726629338878048</x:v>
      </x:c>
      <x:c r="O45" s="54" t="n">
        <x:v>40</x:v>
      </x:c>
      <x:c r="P45" s="94" t="n">
        <x:v>1250</x:v>
      </x:c>
      <x:c r="Q45" s="56" t="n">
        <x:v>16</x:v>
      </x:c>
    </x:row>
    <x:row r="46">
      <x:c r="I46" s="89" t="n">
        <x:v>0.21</x:v>
      </x:c>
      <x:c r="J46" s="90" t="n">
        <x:v>0.9700906148401203</x:v>
      </x:c>
      <x:c r="O46" s="54" t="n">
        <x:v>41</x:v>
      </x:c>
      <x:c r="P46" s="94" t="n">
        <x:v>1281.25</x:v>
      </x:c>
      <x:c r="Q46" s="56" t="n">
        <x:v>17</x:v>
      </x:c>
    </x:row>
    <x:row r="47">
      <x:c r="I47" s="89" t="n">
        <x:v>0.22</x:v>
      </x:c>
      <x:c r="J47" s="90" t="n">
        <x:v>0.9673986712292703</x:v>
      </x:c>
      <x:c r="O47" s="54" t="n">
        <x:v>42</x:v>
      </x:c>
      <x:c r="P47" s="94" t="n">
        <x:v>1312.5</x:v>
      </x:c>
      <x:c r="Q47" s="56" t="n">
        <x:v>17</x:v>
      </x:c>
    </x:row>
    <x:row r="48">
      <x:c r="I48" s="89" t="n">
        <x:v>0.23</x:v>
      </x:c>
      <x:c r="J48" s="90" t="n">
        <x:v>0.9645879275329851</x:v>
      </x:c>
      <x:c r="O48" s="54" t="n">
        <x:v>43</x:v>
      </x:c>
      <x:c r="P48" s="94" t="n">
        <x:v>1343.75</x:v>
      </x:c>
      <x:c r="Q48" s="56" t="n">
        <x:v>17</x:v>
      </x:c>
    </x:row>
    <x:row r="49">
      <x:c r="I49" s="89" t="n">
        <x:v>0.24</x:v>
      </x:c>
      <x:c r="J49" s="90" t="n">
        <x:v>0.9616592438400556</x:v>
      </x:c>
      <x:c r="O49" s="54" t="n">
        <x:v>44</x:v>
      </x:c>
      <x:c r="P49" s="94" t="n">
        <x:v>1375</x:v>
      </x:c>
      <x:c r="Q49" s="56" t="n">
        <x:v>17</x:v>
      </x:c>
    </x:row>
    <x:row r="50">
      <x:c r="I50" s="89" t="n">
        <x:v>0.25</x:v>
      </x:c>
      <x:c r="J50" s="90" t="n">
        <x:v>0.9586135154841415</x:v>
      </x:c>
      <x:c r="O50" s="54" t="n">
        <x:v>45</x:v>
      </x:c>
      <x:c r="P50" s="94" t="n">
        <x:v>1406.25</x:v>
      </x:c>
      <x:c r="Q50" s="56" t="n">
        <x:v>17</x:v>
      </x:c>
    </x:row>
    <x:row r="51">
      <x:c r="I51" s="89" t="n">
        <x:v>0.26</x:v>
      </x:c>
      <x:c r="J51" s="90" t="n">
        <x:v>0.9554516726627791</x:v>
      </x:c>
      <x:c r="O51" s="54" t="n">
        <x:v>46</x:v>
      </x:c>
      <x:c r="P51" s="94" t="n">
        <x:v>1437.5</x:v>
      </x:c>
      <x:c r="Q51" s="56" t="n">
        <x:v>18</x:v>
      </x:c>
    </x:row>
    <x:row r="52">
      <x:c r="I52" s="89" t="n">
        <x:v>0.27</x:v>
      </x:c>
      <x:c r="J52" s="90" t="n">
        <x:v>0.9521746800419073</x:v>
      </x:c>
      <x:c r="O52" s="54" t="n">
        <x:v>47</x:v>
      </x:c>
      <x:c r="P52" s="94" t="n">
        <x:v>1468.75</x:v>
      </x:c>
      <x:c r="Q52" s="56" t="n">
        <x:v>18</x:v>
      </x:c>
    </x:row>
    <x:row r="53">
      <x:c r="I53" s="89" t="n">
        <x:v>0.28</x:v>
      </x:c>
      <x:c r="J53" s="90" t="n">
        <x:v>0.9487835363459209</x:v>
      </x:c>
      <x:c r="O53" s="54" t="n">
        <x:v>48</x:v>
      </x:c>
      <x:c r="P53" s="94" t="n">
        <x:v>1500</x:v>
      </x:c>
      <x:c r="Q53" s="56" t="n">
        <x:v>18</x:v>
      </x:c>
    </x:row>
    <x:row r="54">
      <x:c r="I54" s="89" t="n">
        <x:v>0.29</x:v>
      </x:c>
      <x:c r="J54" s="90" t="n">
        <x:v>0.9452792739337009</x:v>
      </x:c>
      <x:c r="O54" s="54" t="n">
        <x:v>49</x:v>
      </x:c>
      <x:c r="P54" s="94" t="n">
        <x:v>1531.25</x:v>
      </x:c>
      <x:c r="Q54" s="56" t="n">
        <x:v>18</x:v>
      </x:c>
    </x:row>
    <x:row r="55">
      <x:c r="I55" s="89" t="n">
        <x:v>0.3</x:v>
      </x:c>
      <x:c r="J55" s="90" t="n">
        <x:v>0.9416629583606642</x:v>
      </x:c>
      <x:c r="O55" s="54" t="n">
        <x:v>50</x:v>
      </x:c>
      <x:c r="P55" s="94" t="n">
        <x:v>1562.5</x:v>
      </x:c>
      <x:c r="Q55" s="56" t="n">
        <x:v>18</x:v>
      </x:c>
    </x:row>
    <x:row r="56">
      <x:c r="I56" s="89" t="n">
        <x:v>0.31</x:v>
      </x:c>
      <x:c r="J56" s="90" t="n">
        <x:v>0.9379356879270514</x:v>
      </x:c>
      <x:c r="O56" s="54" t="n">
        <x:v>51</x:v>
      </x:c>
      <x:c r="P56" s="94" t="n">
        <x:v>1593.75</x:v>
      </x:c>
      <x:c r="Q56" s="56" t="n">
        <x:v>18</x:v>
      </x:c>
    </x:row>
    <x:row r="57">
      <x:c r="I57" s="89" t="n">
        <x:v>0.32</x:v>
      </x:c>
      <x:c r="J57" s="90" t="n">
        <x:v>0.934098593212877</x:v>
      </x:c>
      <x:c r="O57" s="54" t="n">
        <x:v>52</x:v>
      </x:c>
      <x:c r="P57" s="94" t="n">
        <x:v>1625</x:v>
      </x:c>
      <x:c r="Q57" s="56" t="n">
        <x:v>19</x:v>
      </x:c>
    </x:row>
    <x:row r="58">
      <x:c r="I58" s="89" t="n">
        <x:v>0.33</x:v>
      </x:c>
      <x:c r="J58" s="90" t="n">
        <x:v>0.9301528365994953</x:v>
      </x:c>
      <x:c r="O58" s="54" t="n">
        <x:v>53</x:v>
      </x:c>
      <x:c r="P58" s="94" t="n">
        <x:v>1656.25</x:v>
      </x:c>
      <x:c r="Q58" s="56" t="n">
        <x:v>19</x:v>
      </x:c>
    </x:row>
    <x:row r="59">
      <x:c r="I59" s="89" t="n">
        <x:v>0.34</x:v>
      </x:c>
      <x:c r="J59" s="90" t="n">
        <x:v>0.9260996117782458</x:v>
      </x:c>
      <x:c r="O59" s="54" t="n">
        <x:v>54</x:v>
      </x:c>
      <x:c r="P59" s="94" t="n">
        <x:v>1687.5</x:v>
      </x:c>
      <x:c r="Q59" s="56" t="n">
        <x:v>19</x:v>
      </x:c>
    </x:row>
    <x:row r="60">
      <x:c r="I60" s="89" t="n">
        <x:v>0.35</x:v>
      </x:c>
      <x:c r="J60" s="90" t="n">
        <x:v>0.9219401432463781</x:v>
      </x:c>
      <x:c r="O60" s="54" t="n">
        <x:v>55</x:v>
      </x:c>
      <x:c r="P60" s="94" t="n">
        <x:v>1718.75</x:v>
      </x:c>
      <x:c r="Q60" s="56" t="n">
        <x:v>19</x:v>
      </x:c>
    </x:row>
    <x:row r="61">
      <x:c r="I61" s="89" t="n">
        <x:v>0.36</x:v>
      </x:c>
      <x:c r="J61" s="90" t="n">
        <x:v>0.9176756857903543</x:v>
      </x:c>
      <x:c r="O61" s="54" t="n">
        <x:v>56</x:v>
      </x:c>
      <x:c r="P61" s="94" t="n">
        <x:v>1750</x:v>
      </x:c>
      <x:c r="Q61" s="56" t="n">
        <x:v>19</x:v>
      </x:c>
    </x:row>
    <x:row r="62">
      <x:c r="I62" s="89" t="n">
        <x:v>0.37</x:v>
      </x:c>
      <x:c r="J62" s="90" t="n">
        <x:v>0.9133075239571221</x:v>
      </x:c>
      <x:c r="O62" s="54" t="n">
        <x:v>57</x:v>
      </x:c>
      <x:c r="P62" s="94" t="n">
        <x:v>1781.25</x:v>
      </x:c>
      <x:c r="Q62" s="56" t="n">
        <x:v>19</x:v>
      </x:c>
    </x:row>
    <x:row r="63">
      <x:c r="I63" s="89" t="n">
        <x:v>0.38</x:v>
      </x:c>
      <x:c r="J63" s="90" t="n">
        <x:v>0.9088369715132336</x:v>
      </x:c>
      <x:c r="O63" s="54" t="n">
        <x:v>58</x:v>
      </x:c>
      <x:c r="P63" s="94" t="n">
        <x:v>1812.5</x:v>
      </x:c>
      <x:c r="Q63" s="56" t="n">
        <x:v>20</x:v>
      </x:c>
    </x:row>
    <x:row r="64">
      <x:c r="I64" s="89" t="n">
        <x:v>0.39</x:v>
      </x:c>
      <x:c r="J64" s="90" t="n">
        <x:v>0.9042653708923769</x:v>
      </x:c>
      <x:c r="O64" s="54" t="n">
        <x:v>59</x:v>
      </x:c>
      <x:c r="P64" s="94" t="n">
        <x:v>1843.75</x:v>
      </x:c>
      <x:c r="Q64" s="56" t="n">
        <x:v>20</x:v>
      </x:c>
    </x:row>
    <x:row r="65">
      <x:c r="I65" s="89" t="n">
        <x:v>0.4</x:v>
      </x:c>
      <x:c r="J65" s="90" t="n">
        <x:v>0.8995940926315266</x:v>
      </x:c>
      <x:c r="O65" s="54" t="n">
        <x:v>60</x:v>
      </x:c>
      <x:c r="P65" s="94" t="n">
        <x:v>1875</x:v>
      </x:c>
      <x:c r="Q65" s="56" t="n">
        <x:v>20</x:v>
      </x:c>
    </x:row>
    <x:row r="66">
      <x:c r="I66" s="89" t="n">
        <x:v>0.41</x:v>
      </x:c>
      <x:c r="J66" s="90" t="n">
        <x:v>0.8948245347958549</x:v>
      </x:c>
      <x:c r="O66" s="54" t="n">
        <x:v>61</x:v>
      </x:c>
      <x:c r="P66" s="94" t="n">
        <x:v>1906.25</x:v>
      </x:c>
      <x:c r="Q66" s="56" t="n">
        <x:v>20</x:v>
      </x:c>
    </x:row>
    <x:row r="67">
      <x:c r="I67" s="89" t="n">
        <x:v>0.42</x:v>
      </x:c>
      <x:c r="J67" s="90" t="n">
        <x:v>0.8899581223929176</x:v>
      </x:c>
      <x:c r="O67" s="54" t="n">
        <x:v>62</x:v>
      </x:c>
      <x:c r="P67" s="94" t="n">
        <x:v>1937.5</x:v>
      </x:c>
      <x:c r="Q67" s="56" t="n">
        <x:v>20</x:v>
      </x:c>
    </x:row>
    <x:row r="68">
      <x:c r="I68" s="89" t="n">
        <x:v>0.43</x:v>
      </x:c>
      <x:c r="J68" s="90" t="n">
        <x:v>0.8849963067762517</x:v>
      </x:c>
      <x:c r="O68" s="54" t="n">
        <x:v>63</x:v>
      </x:c>
      <x:c r="P68" s="94" t="n">
        <x:v>1968.75</x:v>
      </x:c>
      <x:c r="Q68" s="56" t="n">
        <x:v>20</x:v>
      </x:c>
    </x:row>
    <x:row r="69">
      <x:c r="I69" s="89" t="n">
        <x:v>0.44</x:v>
      </x:c>
      <x:c r="J69" s="90" t="n">
        <x:v>0.8799405650387754</x:v>
      </x:c>
      <x:c r="O69" s="54" t="n">
        <x:v>64</x:v>
      </x:c>
      <x:c r="P69" s="94" t="n">
        <x:v>2000</x:v>
      </x:c>
      <x:c r="Q69" s="56" t="n">
        <x:v>20</x:v>
      </x:c>
    </x:row>
    <x:row r="70">
      <x:c r="I70" s="89" t="n">
        <x:v>0.45</x:v>
      </x:c>
      <x:c r="J70" s="90" t="n">
        <x:v>0.8747923993961769</x:v>
      </x:c>
      <x:c r="O70" s="54" t="n">
        <x:v>65</x:v>
      </x:c>
      <x:c r="P70" s="94" t="n">
        <x:v>2031.25</x:v>
      </x:c>
      <x:c r="Q70" s="56" t="n">
        <x:v>21</x:v>
      </x:c>
    </x:row>
    <x:row r="71">
      <x:c r="I71" s="89" t="n">
        <x:v>0.46</x:v>
      </x:c>
      <x:c r="J71" s="90" t="n">
        <x:v>0.8695533365607704</x:v>
      </x:c>
      <x:c r="O71" s="54" t="n">
        <x:v>66</x:v>
      </x:c>
      <x:c r="P71" s="94" t="n">
        <x:v>2062.5</x:v>
      </x:c>
      <x:c r="Q71" s="56" t="n">
        <x:v>21</x:v>
      </x:c>
    </x:row>
    <x:row r="72">
      <x:c r="I72" s="89" t="n">
        <x:v>0.47</x:v>
      </x:c>
      <x:c r="J72" s="90" t="n">
        <x:v>0.8642249271059816</x:v>
      </x:c>
      <x:c r="O72" s="54" t="n">
        <x:v>67</x:v>
      </x:c>
      <x:c r="P72" s="94" t="n">
        <x:v>2093.75</x:v>
      </x:c>
      <x:c r="Q72" s="56" t="n">
        <x:v>21</x:v>
      </x:c>
    </x:row>
    <x:row r="73">
      <x:c r="I73" s="89" t="n">
        <x:v>0.48</x:v>
      </x:c>
      <x:c r="J73" s="90" t="n">
        <x:v>0.8588087448218922</x:v>
      </x:c>
      <x:c r="O73" s="54" t="n">
        <x:v>68</x:v>
      </x:c>
      <x:c r="P73" s="94" t="n">
        <x:v>2125</x:v>
      </x:c>
      <x:c r="Q73" s="56" t="n">
        <x:v>21</x:v>
      </x:c>
    </x:row>
    <x:row r="74">
      <x:c r="I74" s="89" t="n">
        <x:v>0.49</x:v>
      </x:c>
      <x:c r="J74" s="90" t="n">
        <x:v>0.8533063860621147</x:v>
      </x:c>
      <x:c r="O74" s="54" t="n">
        <x:v>69</x:v>
      </x:c>
      <x:c r="P74" s="94" t="n">
        <x:v>2156.25</x:v>
      </x:c>
      <x:c r="Q74" s="56" t="n">
        <x:v>21</x:v>
      </x:c>
    </x:row>
    <x:row r="75">
      <x:c r="I75" s="91" t="n">
        <x:v>0.5</x:v>
      </x:c>
      <x:c r="J75" s="92" t="n">
        <x:v>0.8477194690822157</x:v>
      </x:c>
      <x:c r="O75" s="54" t="n">
        <x:v>70</x:v>
      </x:c>
      <x:c r="P75" s="94" t="n">
        <x:v>2187.5</x:v>
      </x:c>
      <x:c r="Q75" s="56" t="n">
        <x:v>21</x:v>
      </x:c>
    </x:row>
    <x:row r="76">
      <x:c r="O76" s="54" t="n">
        <x:v>71</x:v>
      </x:c>
      <x:c r="P76" s="94" t="n">
        <x:v>2218.75</x:v>
      </x:c>
      <x:c r="Q76" s="56" t="n">
        <x:v>21</x:v>
      </x:c>
    </x:row>
    <x:row r="77">
      <x:c r="O77" s="54" t="n">
        <x:v>72</x:v>
      </x:c>
      <x:c r="P77" s="94" t="n">
        <x:v>2250</x:v>
      </x:c>
      <x:c r="Q77" s="56" t="n">
        <x:v>21</x:v>
      </x:c>
    </x:row>
    <x:row r="78">
      <x:c r="O78" s="54" t="n">
        <x:v>73</x:v>
      </x:c>
      <x:c r="P78" s="94" t="n">
        <x:v>2281.25</x:v>
      </x:c>
      <x:c r="Q78" s="56" t="n">
        <x:v>22</x:v>
      </x:c>
    </x:row>
    <x:row r="79">
      <x:c r="O79" s="54" t="n">
        <x:v>74</x:v>
      </x:c>
      <x:c r="P79" s="94" t="n">
        <x:v>2312.5</x:v>
      </x:c>
      <x:c r="Q79" s="56" t="n">
        <x:v>22</x:v>
      </x:c>
    </x:row>
    <x:row r="80">
      <x:c r="O80" s="54" t="n">
        <x:v>75</x:v>
      </x:c>
      <x:c r="P80" s="94" t="n">
        <x:v>2343.75</x:v>
      </x:c>
      <x:c r="Q80" s="56" t="n">
        <x:v>22</x:v>
      </x:c>
    </x:row>
    <x:row r="81">
      <x:c r="O81" s="54" t="n">
        <x:v>76</x:v>
      </x:c>
      <x:c r="P81" s="94" t="n">
        <x:v>2375</x:v>
      </x:c>
      <x:c r="Q81" s="56" t="n">
        <x:v>22</x:v>
      </x:c>
    </x:row>
    <x:row r="82">
      <x:c r="O82" s="54" t="n">
        <x:v>77</x:v>
      </x:c>
      <x:c r="P82" s="94" t="n">
        <x:v>2406.25</x:v>
      </x:c>
      <x:c r="Q82" s="56" t="n">
        <x:v>22</x:v>
      </x:c>
    </x:row>
    <x:row r="83">
      <x:c r="O83" s="54" t="n">
        <x:v>78</x:v>
      </x:c>
      <x:c r="P83" s="94" t="n">
        <x:v>2437.5</x:v>
      </x:c>
      <x:c r="Q83" s="56" t="n">
        <x:v>22</x:v>
      </x:c>
    </x:row>
    <x:row r="84">
      <x:c r="O84" s="54" t="n">
        <x:v>79</x:v>
      </x:c>
      <x:c r="P84" s="94" t="n">
        <x:v>2468.75</x:v>
      </x:c>
      <x:c r="Q84" s="56" t="n">
        <x:v>22</x:v>
      </x:c>
    </x:row>
    <x:row r="85">
      <x:c r="O85" s="54" t="n">
        <x:v>80</x:v>
      </x:c>
      <x:c r="P85" s="94" t="n">
        <x:v>2500</x:v>
      </x:c>
      <x:c r="Q85" s="56" t="n">
        <x:v>22</x:v>
      </x:c>
    </x:row>
    <x:row r="86">
      <x:c r="O86" s="54" t="n">
        <x:v>81</x:v>
      </x:c>
      <x:c r="P86" s="94" t="n">
        <x:v>2531.25</x:v>
      </x:c>
      <x:c r="Q86" s="56" t="n">
        <x:v>22</x:v>
      </x:c>
    </x:row>
    <x:row r="87">
      <x:c r="O87" s="54" t="n">
        <x:v>82</x:v>
      </x:c>
      <x:c r="P87" s="94" t="n">
        <x:v>2562.5</x:v>
      </x:c>
      <x:c r="Q87" s="56" t="n">
        <x:v>23</x:v>
      </x:c>
    </x:row>
    <x:row r="88">
      <x:c r="O88" s="54" t="n">
        <x:v>83</x:v>
      </x:c>
      <x:c r="P88" s="94" t="n">
        <x:v>2593.75</x:v>
      </x:c>
      <x:c r="Q88" s="56" t="n">
        <x:v>23</x:v>
      </x:c>
    </x:row>
    <x:row r="89">
      <x:c r="O89" s="54" t="n">
        <x:v>84</x:v>
      </x:c>
      <x:c r="P89" s="94" t="n">
        <x:v>2625</x:v>
      </x:c>
      <x:c r="Q89" s="56" t="n">
        <x:v>23</x:v>
      </x:c>
    </x:row>
    <x:row r="90">
      <x:c r="O90" s="54" t="n">
        <x:v>85</x:v>
      </x:c>
      <x:c r="P90" s="94" t="n">
        <x:v>2656.25</x:v>
      </x:c>
      <x:c r="Q90" s="56" t="n">
        <x:v>23</x:v>
      </x:c>
    </x:row>
    <x:row r="91">
      <x:c r="O91" s="54" t="n">
        <x:v>86</x:v>
      </x:c>
      <x:c r="P91" s="94" t="n">
        <x:v>2687.5</x:v>
      </x:c>
      <x:c r="Q91" s="56" t="n">
        <x:v>23</x:v>
      </x:c>
    </x:row>
    <x:row r="92">
      <x:c r="O92" s="54" t="n">
        <x:v>87</x:v>
      </x:c>
      <x:c r="P92" s="94" t="n">
        <x:v>2718.75</x:v>
      </x:c>
      <x:c r="Q92" s="56" t="n">
        <x:v>23</x:v>
      </x:c>
    </x:row>
    <x:row r="93">
      <x:c r="O93" s="54" t="n">
        <x:v>88</x:v>
      </x:c>
      <x:c r="P93" s="94" t="n">
        <x:v>2750</x:v>
      </x:c>
      <x:c r="Q93" s="56" t="n">
        <x:v>23</x:v>
      </x:c>
    </x:row>
    <x:row r="94">
      <x:c r="O94" s="54" t="n">
        <x:v>89</x:v>
      </x:c>
      <x:c r="P94" s="94" t="n">
        <x:v>2781.25</x:v>
      </x:c>
      <x:c r="Q94" s="56" t="n">
        <x:v>23</x:v>
      </x:c>
    </x:row>
    <x:row r="95">
      <x:c r="O95" s="54" t="n">
        <x:v>90</x:v>
      </x:c>
      <x:c r="P95" s="94" t="n">
        <x:v>2812.5</x:v>
      </x:c>
      <x:c r="Q95" s="56" t="n">
        <x:v>23</x:v>
      </x:c>
    </x:row>
    <x:row r="96">
      <x:c r="O96" s="54" t="n">
        <x:v>91</x:v>
      </x:c>
      <x:c r="P96" s="94" t="n">
        <x:v>2843.75</x:v>
      </x:c>
      <x:c r="Q96" s="56" t="n">
        <x:v>23</x:v>
      </x:c>
    </x:row>
    <x:row r="97">
      <x:c r="O97" s="54" t="n">
        <x:v>92</x:v>
      </x:c>
      <x:c r="P97" s="94" t="n">
        <x:v>2875</x:v>
      </x:c>
      <x:c r="Q97" s="56" t="n">
        <x:v>24</x:v>
      </x:c>
    </x:row>
    <x:row r="98">
      <x:c r="O98" s="54" t="n">
        <x:v>93</x:v>
      </x:c>
      <x:c r="P98" s="94" t="n">
        <x:v>2906.25</x:v>
      </x:c>
      <x:c r="Q98" s="56" t="n">
        <x:v>24</x:v>
      </x:c>
    </x:row>
    <x:row r="99">
      <x:c r="O99" s="54" t="n">
        <x:v>94</x:v>
      </x:c>
      <x:c r="P99" s="94" t="n">
        <x:v>2937.5</x:v>
      </x:c>
      <x:c r="Q99" s="56" t="n">
        <x:v>24</x:v>
      </x:c>
    </x:row>
    <x:row r="100">
      <x:c r="O100" s="54" t="n">
        <x:v>95</x:v>
      </x:c>
      <x:c r="P100" s="94" t="n">
        <x:v>2968.75</x:v>
      </x:c>
      <x:c r="Q100" s="56" t="n">
        <x:v>24</x:v>
      </x:c>
    </x:row>
    <x:row r="101">
      <x:c r="O101" s="54" t="n">
        <x:v>96</x:v>
      </x:c>
      <x:c r="P101" s="94" t="n">
        <x:v>3000</x:v>
      </x:c>
      <x:c r="Q101" s="56" t="n">
        <x:v>24</x:v>
      </x:c>
    </x:row>
    <x:row r="102">
      <x:c r="O102" s="54" t="n">
        <x:v>97</x:v>
      </x:c>
      <x:c r="P102" s="94" t="n">
        <x:v>3031.25</x:v>
      </x:c>
      <x:c r="Q102" s="56" t="n">
        <x:v>24</x:v>
      </x:c>
    </x:row>
    <x:row r="103">
      <x:c r="O103" s="54" t="n">
        <x:v>98</x:v>
      </x:c>
      <x:c r="P103" s="94" t="n">
        <x:v>3062.5</x:v>
      </x:c>
      <x:c r="Q103" s="56" t="n">
        <x:v>24</x:v>
      </x:c>
    </x:row>
    <x:row r="104">
      <x:c r="O104" s="54" t="n">
        <x:v>99</x:v>
      </x:c>
      <x:c r="P104" s="94" t="n">
        <x:v>3093.75</x:v>
      </x:c>
      <x:c r="Q104" s="56" t="n">
        <x:v>24</x:v>
      </x:c>
    </x:row>
    <x:row r="105">
      <x:c r="O105" s="54" t="n">
        <x:v>100</x:v>
      </x:c>
      <x:c r="P105" s="94" t="n">
        <x:v>3125</x:v>
      </x:c>
      <x:c r="Q105" s="56" t="n">
        <x:v>24</x:v>
      </x:c>
    </x:row>
    <x:row r="106">
      <x:c r="O106" s="54" t="n">
        <x:v>101</x:v>
      </x:c>
      <x:c r="P106" s="94" t="n">
        <x:v>3156.25</x:v>
      </x:c>
      <x:c r="Q106" s="56" t="n">
        <x:v>24</x:v>
      </x:c>
    </x:row>
    <x:row r="107">
      <x:c r="O107" s="54" t="n">
        <x:v>102</x:v>
      </x:c>
      <x:c r="P107" s="94" t="n">
        <x:v>3187.5</x:v>
      </x:c>
      <x:c r="Q107" s="56" t="n">
        <x:v>24</x:v>
      </x:c>
    </x:row>
    <x:row r="108">
      <x:c r="O108" s="54" t="n">
        <x:v>103</x:v>
      </x:c>
      <x:c r="P108" s="94" t="n">
        <x:v>3218.75</x:v>
      </x:c>
      <x:c r="Q108" s="56" t="n">
        <x:v>25</x:v>
      </x:c>
    </x:row>
    <x:row r="109">
      <x:c r="O109" s="54" t="n">
        <x:v>104</x:v>
      </x:c>
      <x:c r="P109" s="94" t="n">
        <x:v>3250</x:v>
      </x:c>
      <x:c r="Q109" s="56" t="n">
        <x:v>25</x:v>
      </x:c>
    </x:row>
    <x:row r="110">
      <x:c r="O110" s="54" t="n">
        <x:v>105</x:v>
      </x:c>
      <x:c r="P110" s="94" t="n">
        <x:v>3281.25</x:v>
      </x:c>
      <x:c r="Q110" s="56" t="n">
        <x:v>25</x:v>
      </x:c>
    </x:row>
    <x:row r="111">
      <x:c r="O111" s="54" t="n">
        <x:v>106</x:v>
      </x:c>
      <x:c r="P111" s="94" t="n">
        <x:v>3312.5</x:v>
      </x:c>
      <x:c r="Q111" s="56" t="n">
        <x:v>25</x:v>
      </x:c>
    </x:row>
    <x:row r="112">
      <x:c r="O112" s="54" t="n">
        <x:v>107</x:v>
      </x:c>
      <x:c r="P112" s="94" t="n">
        <x:v>3343.75</x:v>
      </x:c>
      <x:c r="Q112" s="56" t="n">
        <x:v>25</x:v>
      </x:c>
    </x:row>
    <x:row r="113">
      <x:c r="O113" s="54" t="n">
        <x:v>108</x:v>
      </x:c>
      <x:c r="P113" s="94" t="n">
        <x:v>3375</x:v>
      </x:c>
      <x:c r="Q113" s="56" t="n">
        <x:v>25</x:v>
      </x:c>
    </x:row>
    <x:row r="114">
      <x:c r="O114" s="54" t="n">
        <x:v>109</x:v>
      </x:c>
      <x:c r="P114" s="94" t="n">
        <x:v>3406.25</x:v>
      </x:c>
      <x:c r="Q114" s="56" t="n">
        <x:v>25</x:v>
      </x:c>
    </x:row>
    <x:row r="115">
      <x:c r="O115" s="54" t="n">
        <x:v>110</x:v>
      </x:c>
      <x:c r="P115" s="94" t="n">
        <x:v>3437.5</x:v>
      </x:c>
      <x:c r="Q115" s="56" t="n">
        <x:v>25</x:v>
      </x:c>
    </x:row>
    <x:row r="116">
      <x:c r="O116" s="54" t="n">
        <x:v>111</x:v>
      </x:c>
      <x:c r="P116" s="94" t="n">
        <x:v>3468.75</x:v>
      </x:c>
      <x:c r="Q116" s="56" t="n">
        <x:v>25</x:v>
      </x:c>
    </x:row>
    <x:row r="117">
      <x:c r="O117" s="54" t="n">
        <x:v>112</x:v>
      </x:c>
      <x:c r="P117" s="94" t="n">
        <x:v>3500</x:v>
      </x:c>
      <x:c r="Q117" s="56" t="n">
        <x:v>25</x:v>
      </x:c>
    </x:row>
    <x:row r="118">
      <x:c r="O118" s="54" t="n">
        <x:v>113</x:v>
      </x:c>
      <x:c r="P118" s="94" t="n">
        <x:v>3531.25</x:v>
      </x:c>
      <x:c r="Q118" s="56" t="n">
        <x:v>25</x:v>
      </x:c>
    </x:row>
    <x:row r="119">
      <x:c r="O119" s="54" t="n">
        <x:v>114</x:v>
      </x:c>
      <x:c r="P119" s="94" t="n">
        <x:v>3562.5</x:v>
      </x:c>
      <x:c r="Q119" s="56" t="n">
        <x:v>25</x:v>
      </x:c>
    </x:row>
    <x:row r="120">
      <x:c r="O120" s="54" t="n">
        <x:v>115</x:v>
      </x:c>
      <x:c r="P120" s="94" t="n">
        <x:v>3593.75</x:v>
      </x:c>
      <x:c r="Q120" s="56" t="n">
        <x:v>25</x:v>
      </x:c>
    </x:row>
    <x:row r="121">
      <x:c r="O121" s="54" t="n">
        <x:v>116</x:v>
      </x:c>
      <x:c r="P121" s="94" t="n">
        <x:v>3625</x:v>
      </x:c>
      <x:c r="Q121" s="56" t="n">
        <x:v>26</x:v>
      </x:c>
    </x:row>
    <x:row r="122">
      <x:c r="O122" s="54" t="n">
        <x:v>117</x:v>
      </x:c>
      <x:c r="P122" s="94" t="n">
        <x:v>3656.25</x:v>
      </x:c>
      <x:c r="Q122" s="56" t="n">
        <x:v>26</x:v>
      </x:c>
    </x:row>
    <x:row r="123">
      <x:c r="O123" s="54" t="n">
        <x:v>118</x:v>
      </x:c>
      <x:c r="P123" s="94" t="n">
        <x:v>3687.5</x:v>
      </x:c>
      <x:c r="Q123" s="56" t="n">
        <x:v>26</x:v>
      </x:c>
    </x:row>
    <x:row r="124">
      <x:c r="O124" s="54" t="n">
        <x:v>119</x:v>
      </x:c>
      <x:c r="P124" s="94" t="n">
        <x:v>3718.75</x:v>
      </x:c>
      <x:c r="Q124" s="56" t="n">
        <x:v>26</x:v>
      </x:c>
    </x:row>
    <x:row r="125">
      <x:c r="O125" s="54" t="n">
        <x:v>120</x:v>
      </x:c>
      <x:c r="P125" s="94" t="n">
        <x:v>3750</x:v>
      </x:c>
      <x:c r="Q125" s="56" t="n">
        <x:v>26</x:v>
      </x:c>
    </x:row>
    <x:row r="126">
      <x:c r="O126" s="54" t="n">
        <x:v>121</x:v>
      </x:c>
      <x:c r="P126" s="94" t="n">
        <x:v>3781.25</x:v>
      </x:c>
      <x:c r="Q126" s="56" t="n">
        <x:v>26</x:v>
      </x:c>
    </x:row>
    <x:row r="127">
      <x:c r="O127" s="54" t="n">
        <x:v>122</x:v>
      </x:c>
      <x:c r="P127" s="94" t="n">
        <x:v>3812.5</x:v>
      </x:c>
      <x:c r="Q127" s="56" t="n">
        <x:v>26</x:v>
      </x:c>
    </x:row>
    <x:row r="128">
      <x:c r="O128" s="54" t="n">
        <x:v>123</x:v>
      </x:c>
      <x:c r="P128" s="94" t="n">
        <x:v>3843.75</x:v>
      </x:c>
      <x:c r="Q128" s="56" t="n">
        <x:v>26</x:v>
      </x:c>
    </x:row>
    <x:row r="129">
      <x:c r="O129" s="54" t="n">
        <x:v>124</x:v>
      </x:c>
      <x:c r="P129" s="94" t="n">
        <x:v>3875</x:v>
      </x:c>
      <x:c r="Q129" s="56" t="n">
        <x:v>26</x:v>
      </x:c>
    </x:row>
    <x:row r="130">
      <x:c r="O130" s="54" t="n">
        <x:v>125</x:v>
      </x:c>
      <x:c r="P130" s="94" t="n">
        <x:v>3906.25</x:v>
      </x:c>
      <x:c r="Q130" s="56" t="n">
        <x:v>26</x:v>
      </x:c>
    </x:row>
    <x:row r="131">
      <x:c r="O131" s="54" t="n">
        <x:v>126</x:v>
      </x:c>
      <x:c r="P131" s="94" t="n">
        <x:v>3937.5</x:v>
      </x:c>
      <x:c r="Q131" s="56" t="n">
        <x:v>26</x:v>
      </x:c>
    </x:row>
    <x:row r="132">
      <x:c r="O132" s="54" t="n">
        <x:v>127</x:v>
      </x:c>
      <x:c r="P132" s="94" t="n">
        <x:v>3968.75</x:v>
      </x:c>
      <x:c r="Q132" s="56" t="n">
        <x:v>26</x:v>
      </x:c>
    </x:row>
    <x:row r="133">
      <x:c r="O133" s="54" t="n">
        <x:v>128</x:v>
      </x:c>
      <x:c r="P133" s="94" t="n">
        <x:v>4000</x:v>
      </x:c>
      <x:c r="Q133" s="56" t="n">
        <x:v>26</x:v>
      </x:c>
    </x:row>
    <x:row r="134">
      <x:c r="O134" s="54" t="n">
        <x:v>129</x:v>
      </x:c>
      <x:c r="P134" s="94" t="n">
        <x:v>4031.25</x:v>
      </x:c>
      <x:c r="Q134" s="56" t="n">
        <x:v>26</x:v>
      </x:c>
    </x:row>
    <x:row r="135">
      <x:c r="O135" s="54" t="n">
        <x:v>130</x:v>
      </x:c>
      <x:c r="P135" s="94" t="n">
        <x:v>4062.5</x:v>
      </x:c>
      <x:c r="Q135" s="56" t="n">
        <x:v>27</x:v>
      </x:c>
    </x:row>
    <x:row r="136">
      <x:c r="O136" s="54" t="n">
        <x:v>131</x:v>
      </x:c>
      <x:c r="P136" s="94" t="n">
        <x:v>4093.75</x:v>
      </x:c>
      <x:c r="Q136" s="56" t="n">
        <x:v>27</x:v>
      </x:c>
    </x:row>
    <x:row r="137">
      <x:c r="O137" s="54" t="n">
        <x:v>132</x:v>
      </x:c>
      <x:c r="P137" s="94" t="n">
        <x:v>4125</x:v>
      </x:c>
      <x:c r="Q137" s="56" t="n">
        <x:v>27</x:v>
      </x:c>
    </x:row>
    <x:row r="138">
      <x:c r="O138" s="54" t="n">
        <x:v>133</x:v>
      </x:c>
      <x:c r="P138" s="94" t="n">
        <x:v>4156.25</x:v>
      </x:c>
      <x:c r="Q138" s="56" t="n">
        <x:v>27</x:v>
      </x:c>
    </x:row>
    <x:row r="139">
      <x:c r="O139" s="54" t="n">
        <x:v>134</x:v>
      </x:c>
      <x:c r="P139" s="94" t="n">
        <x:v>4187.5</x:v>
      </x:c>
      <x:c r="Q139" s="56" t="n">
        <x:v>27</x:v>
      </x:c>
    </x:row>
    <x:row r="140">
      <x:c r="O140" s="54" t="n">
        <x:v>135</x:v>
      </x:c>
      <x:c r="P140" s="94" t="n">
        <x:v>4218.75</x:v>
      </x:c>
      <x:c r="Q140" s="56" t="n">
        <x:v>27</x:v>
      </x:c>
    </x:row>
    <x:row r="141">
      <x:c r="O141" s="54" t="n">
        <x:v>136</x:v>
      </x:c>
      <x:c r="P141" s="94" t="n">
        <x:v>4250</x:v>
      </x:c>
      <x:c r="Q141" s="56" t="n">
        <x:v>27</x:v>
      </x:c>
    </x:row>
    <x:row r="142">
      <x:c r="O142" s="54" t="n">
        <x:v>137</x:v>
      </x:c>
      <x:c r="P142" s="94" t="n">
        <x:v>4281.25</x:v>
      </x:c>
      <x:c r="Q142" s="56" t="n">
        <x:v>27</x:v>
      </x:c>
    </x:row>
    <x:row r="143">
      <x:c r="O143" s="54" t="n">
        <x:v>138</x:v>
      </x:c>
      <x:c r="P143" s="94" t="n">
        <x:v>4312.5</x:v>
      </x:c>
      <x:c r="Q143" s="56" t="n">
        <x:v>27</x:v>
      </x:c>
    </x:row>
    <x:row r="144">
      <x:c r="O144" s="54" t="n">
        <x:v>139</x:v>
      </x:c>
      <x:c r="P144" s="94" t="n">
        <x:v>4343.75</x:v>
      </x:c>
      <x:c r="Q144" s="56" t="n">
        <x:v>27</x:v>
      </x:c>
    </x:row>
    <x:row r="145">
      <x:c r="O145" s="54" t="n">
        <x:v>140</x:v>
      </x:c>
      <x:c r="P145" s="94" t="n">
        <x:v>4375</x:v>
      </x:c>
      <x:c r="Q145" s="56" t="n">
        <x:v>27</x:v>
      </x:c>
    </x:row>
    <x:row r="146">
      <x:c r="O146" s="54" t="n">
        <x:v>141</x:v>
      </x:c>
      <x:c r="P146" s="94" t="n">
        <x:v>4406.25</x:v>
      </x:c>
      <x:c r="Q146" s="56" t="n">
        <x:v>27</x:v>
      </x:c>
    </x:row>
    <x:row r="147">
      <x:c r="O147" s="54" t="n">
        <x:v>142</x:v>
      </x:c>
      <x:c r="P147" s="94" t="n">
        <x:v>4437.5</x:v>
      </x:c>
      <x:c r="Q147" s="56" t="n">
        <x:v>27</x:v>
      </x:c>
    </x:row>
    <x:row r="148">
      <x:c r="O148" s="54" t="n">
        <x:v>143</x:v>
      </x:c>
      <x:c r="P148" s="94" t="n">
        <x:v>4468.75</x:v>
      </x:c>
      <x:c r="Q148" s="56" t="n">
        <x:v>27</x:v>
      </x:c>
    </x:row>
    <x:row r="149">
      <x:c r="O149" s="54" t="n">
        <x:v>144</x:v>
      </x:c>
      <x:c r="P149" s="94" t="n">
        <x:v>4500</x:v>
      </x:c>
      <x:c r="Q149" s="56" t="n">
        <x:v>27</x:v>
      </x:c>
    </x:row>
    <x:row r="150">
      <x:c r="O150" s="54" t="n">
        <x:v>145</x:v>
      </x:c>
      <x:c r="P150" s="94" t="n">
        <x:v>4531.25</x:v>
      </x:c>
      <x:c r="Q150" s="56" t="n">
        <x:v>28</x:v>
      </x:c>
    </x:row>
    <x:row r="151">
      <x:c r="O151" s="54" t="n">
        <x:v>146</x:v>
      </x:c>
      <x:c r="P151" s="94" t="n">
        <x:v>4562.5</x:v>
      </x:c>
      <x:c r="Q151" s="56" t="n">
        <x:v>28</x:v>
      </x:c>
    </x:row>
    <x:row r="152">
      <x:c r="O152" s="54" t="n">
        <x:v>147</x:v>
      </x:c>
      <x:c r="P152" s="94" t="n">
        <x:v>4593.75</x:v>
      </x:c>
      <x:c r="Q152" s="56" t="n">
        <x:v>28</x:v>
      </x:c>
    </x:row>
    <x:row r="153">
      <x:c r="O153" s="54" t="n">
        <x:v>148</x:v>
      </x:c>
      <x:c r="P153" s="94" t="n">
        <x:v>4625</x:v>
      </x:c>
      <x:c r="Q153" s="56" t="n">
        <x:v>28</x:v>
      </x:c>
    </x:row>
    <x:row r="154">
      <x:c r="O154" s="54" t="n">
        <x:v>149</x:v>
      </x:c>
      <x:c r="P154" s="94" t="n">
        <x:v>4656.25</x:v>
      </x:c>
      <x:c r="Q154" s="56" t="n">
        <x:v>28</x:v>
      </x:c>
    </x:row>
    <x:row r="155">
      <x:c r="O155" s="54" t="n">
        <x:v>150</x:v>
      </x:c>
      <x:c r="P155" s="94" t="n">
        <x:v>4687.5</x:v>
      </x:c>
      <x:c r="Q155" s="56" t="n">
        <x:v>28</x:v>
      </x:c>
    </x:row>
    <x:row r="156">
      <x:c r="O156" s="54" t="n">
        <x:v>151</x:v>
      </x:c>
      <x:c r="P156" s="94" t="n">
        <x:v>4718.75</x:v>
      </x:c>
      <x:c r="Q156" s="56" t="n">
        <x:v>28</x:v>
      </x:c>
    </x:row>
    <x:row r="157">
      <x:c r="O157" s="54" t="n">
        <x:v>152</x:v>
      </x:c>
      <x:c r="P157" s="94" t="n">
        <x:v>4750</x:v>
      </x:c>
      <x:c r="Q157" s="56" t="n">
        <x:v>28</x:v>
      </x:c>
    </x:row>
    <x:row r="158">
      <x:c r="O158" s="54" t="n">
        <x:v>153</x:v>
      </x:c>
      <x:c r="P158" s="94" t="n">
        <x:v>4781.25</x:v>
      </x:c>
      <x:c r="Q158" s="56" t="n">
        <x:v>28</x:v>
      </x:c>
    </x:row>
    <x:row r="159">
      <x:c r="O159" s="54" t="n">
        <x:v>154</x:v>
      </x:c>
      <x:c r="P159" s="94" t="n">
        <x:v>4812.5</x:v>
      </x:c>
      <x:c r="Q159" s="56" t="n">
        <x:v>28</x:v>
      </x:c>
    </x:row>
    <x:row r="160">
      <x:c r="O160" s="54" t="n">
        <x:v>155</x:v>
      </x:c>
      <x:c r="P160" s="94" t="n">
        <x:v>4843.75</x:v>
      </x:c>
      <x:c r="Q160" s="56" t="n">
        <x:v>28</x:v>
      </x:c>
    </x:row>
    <x:row r="161">
      <x:c r="O161" s="54" t="n">
        <x:v>156</x:v>
      </x:c>
      <x:c r="P161" s="94" t="n">
        <x:v>4875</x:v>
      </x:c>
      <x:c r="Q161" s="56" t="n">
        <x:v>28</x:v>
      </x:c>
    </x:row>
    <x:row r="162">
      <x:c r="O162" s="54" t="n">
        <x:v>157</x:v>
      </x:c>
      <x:c r="P162" s="94" t="n">
        <x:v>4906.25</x:v>
      </x:c>
      <x:c r="Q162" s="56" t="n">
        <x:v>28</x:v>
      </x:c>
    </x:row>
    <x:row r="163">
      <x:c r="O163" s="54" t="n">
        <x:v>158</x:v>
      </x:c>
      <x:c r="P163" s="94" t="n">
        <x:v>4937.5</x:v>
      </x:c>
      <x:c r="Q163" s="56" t="n">
        <x:v>28</x:v>
      </x:c>
    </x:row>
    <x:row r="164">
      <x:c r="O164" s="54" t="n">
        <x:v>159</x:v>
      </x:c>
      <x:c r="P164" s="94" t="n">
        <x:v>4968.75</x:v>
      </x:c>
      <x:c r="Q164" s="56" t="n">
        <x:v>28</x:v>
      </x:c>
    </x:row>
    <x:row r="165">
      <x:c r="O165" s="54" t="n">
        <x:v>160</x:v>
      </x:c>
      <x:c r="P165" s="94" t="n">
        <x:v>5000</x:v>
      </x:c>
      <x:c r="Q165" s="56" t="n">
        <x:v>28</x:v>
      </x:c>
    </x:row>
    <x:row r="166">
      <x:c r="O166" s="54" t="n">
        <x:v>161</x:v>
      </x:c>
      <x:c r="P166" s="94" t="n">
        <x:v>5031.25</x:v>
      </x:c>
      <x:c r="Q166" s="56" t="n">
        <x:v>28</x:v>
      </x:c>
    </x:row>
    <x:row r="167">
      <x:c r="O167" s="54" t="n">
        <x:v>162</x:v>
      </x:c>
      <x:c r="P167" s="94" t="n">
        <x:v>5062.5</x:v>
      </x:c>
      <x:c r="Q167" s="56" t="n">
        <x:v>29</x:v>
      </x:c>
    </x:row>
    <x:row r="168">
      <x:c r="O168" s="54" t="n">
        <x:v>163</x:v>
      </x:c>
      <x:c r="P168" s="94" t="n">
        <x:v>5093.75</x:v>
      </x:c>
      <x:c r="Q168" s="56" t="n">
        <x:v>29</x:v>
      </x:c>
    </x:row>
    <x:row r="169">
      <x:c r="O169" s="54" t="n">
        <x:v>164</x:v>
      </x:c>
      <x:c r="P169" s="94" t="n">
        <x:v>5125</x:v>
      </x:c>
      <x:c r="Q169" s="56" t="n">
        <x:v>29</x:v>
      </x:c>
    </x:row>
    <x:row r="170">
      <x:c r="O170" s="54" t="n">
        <x:v>165</x:v>
      </x:c>
      <x:c r="P170" s="94" t="n">
        <x:v>5156.25</x:v>
      </x:c>
      <x:c r="Q170" s="56" t="n">
        <x:v>29</x:v>
      </x:c>
    </x:row>
    <x:row r="171">
      <x:c r="O171" s="54" t="n">
        <x:v>166</x:v>
      </x:c>
      <x:c r="P171" s="94" t="n">
        <x:v>5187.5</x:v>
      </x:c>
      <x:c r="Q171" s="56" t="n">
        <x:v>29</x:v>
      </x:c>
    </x:row>
    <x:row r="172">
      <x:c r="O172" s="54" t="n">
        <x:v>167</x:v>
      </x:c>
      <x:c r="P172" s="94" t="n">
        <x:v>5218.75</x:v>
      </x:c>
      <x:c r="Q172" s="56" t="n">
        <x:v>29</x:v>
      </x:c>
    </x:row>
    <x:row r="173">
      <x:c r="O173" s="54" t="n">
        <x:v>168</x:v>
      </x:c>
      <x:c r="P173" s="94" t="n">
        <x:v>5250</x:v>
      </x:c>
      <x:c r="Q173" s="56" t="n">
        <x:v>29</x:v>
      </x:c>
    </x:row>
    <x:row r="174">
      <x:c r="O174" s="54" t="n">
        <x:v>169</x:v>
      </x:c>
      <x:c r="P174" s="94" t="n">
        <x:v>5281.25</x:v>
      </x:c>
      <x:c r="Q174" s="56" t="n">
        <x:v>29</x:v>
      </x:c>
    </x:row>
    <x:row r="175">
      <x:c r="O175" s="54" t="n">
        <x:v>170</x:v>
      </x:c>
      <x:c r="P175" s="94" t="n">
        <x:v>5312.5</x:v>
      </x:c>
      <x:c r="Q175" s="56" t="n">
        <x:v>29</x:v>
      </x:c>
    </x:row>
    <x:row r="176">
      <x:c r="O176" s="54" t="n">
        <x:v>171</x:v>
      </x:c>
      <x:c r="P176" s="94" t="n">
        <x:v>5343.75</x:v>
      </x:c>
      <x:c r="Q176" s="56" t="n">
        <x:v>29</x:v>
      </x:c>
    </x:row>
    <x:row r="177">
      <x:c r="O177" s="54" t="n">
        <x:v>172</x:v>
      </x:c>
      <x:c r="P177" s="94" t="n">
        <x:v>5375</x:v>
      </x:c>
      <x:c r="Q177" s="56" t="n">
        <x:v>29</x:v>
      </x:c>
    </x:row>
    <x:row r="178">
      <x:c r="O178" s="54" t="n">
        <x:v>173</x:v>
      </x:c>
      <x:c r="P178" s="94" t="n">
        <x:v>5406.25</x:v>
      </x:c>
      <x:c r="Q178" s="56" t="n">
        <x:v>29</x:v>
      </x:c>
    </x:row>
    <x:row r="179">
      <x:c r="O179" s="54" t="n">
        <x:v>174</x:v>
      </x:c>
      <x:c r="P179" s="94" t="n">
        <x:v>5437.5</x:v>
      </x:c>
      <x:c r="Q179" s="56" t="n">
        <x:v>29</x:v>
      </x:c>
    </x:row>
    <x:row r="180">
      <x:c r="O180" s="54" t="n">
        <x:v>175</x:v>
      </x:c>
      <x:c r="P180" s="94" t="n">
        <x:v>5468.75</x:v>
      </x:c>
      <x:c r="Q180" s="56" t="n">
        <x:v>29</x:v>
      </x:c>
    </x:row>
    <x:row r="181">
      <x:c r="O181" s="54" t="n">
        <x:v>176</x:v>
      </x:c>
      <x:c r="P181" s="94" t="n">
        <x:v>5500</x:v>
      </x:c>
      <x:c r="Q181" s="56" t="n">
        <x:v>29</x:v>
      </x:c>
    </x:row>
    <x:row r="182">
      <x:c r="O182" s="54" t="n">
        <x:v>177</x:v>
      </x:c>
      <x:c r="P182" s="94" t="n">
        <x:v>5531.25</x:v>
      </x:c>
      <x:c r="Q182" s="56" t="n">
        <x:v>29</x:v>
      </x:c>
    </x:row>
    <x:row r="183">
      <x:c r="O183" s="54" t="n">
        <x:v>178</x:v>
      </x:c>
      <x:c r="P183" s="94" t="n">
        <x:v>5562.5</x:v>
      </x:c>
      <x:c r="Q183" s="56" t="n">
        <x:v>29</x:v>
      </x:c>
    </x:row>
    <x:row r="184">
      <x:c r="O184" s="54" t="n">
        <x:v>179</x:v>
      </x:c>
      <x:c r="P184" s="94" t="n">
        <x:v>5593.75</x:v>
      </x:c>
      <x:c r="Q184" s="56" t="n">
        <x:v>29</x:v>
      </x:c>
    </x:row>
    <x:row r="185">
      <x:c r="O185" s="54" t="n">
        <x:v>180</x:v>
      </x:c>
      <x:c r="P185" s="94" t="n">
        <x:v>5625</x:v>
      </x:c>
      <x:c r="Q185" s="56" t="n">
        <x:v>29</x:v>
      </x:c>
    </x:row>
    <x:row r="186">
      <x:c r="O186" s="54" t="n">
        <x:v>181</x:v>
      </x:c>
      <x:c r="P186" s="94" t="n">
        <x:v>5656.25</x:v>
      </x:c>
      <x:c r="Q186" s="56" t="n">
        <x:v>30</x:v>
      </x:c>
    </x:row>
    <x:row r="187">
      <x:c r="O187" s="54" t="n">
        <x:v>182</x:v>
      </x:c>
      <x:c r="P187" s="94" t="n">
        <x:v>5687.5</x:v>
      </x:c>
      <x:c r="Q187" s="56" t="n">
        <x:v>30</x:v>
      </x:c>
    </x:row>
    <x:row r="188">
      <x:c r="O188" s="54" t="n">
        <x:v>183</x:v>
      </x:c>
      <x:c r="P188" s="94" t="n">
        <x:v>5718.75</x:v>
      </x:c>
      <x:c r="Q188" s="56" t="n">
        <x:v>30</x:v>
      </x:c>
    </x:row>
    <x:row r="189">
      <x:c r="O189" s="54" t="n">
        <x:v>184</x:v>
      </x:c>
      <x:c r="P189" s="94" t="n">
        <x:v>5750</x:v>
      </x:c>
      <x:c r="Q189" s="56" t="n">
        <x:v>30</x:v>
      </x:c>
    </x:row>
    <x:row r="190">
      <x:c r="O190" s="54" t="n">
        <x:v>185</x:v>
      </x:c>
      <x:c r="P190" s="94" t="n">
        <x:v>5781.25</x:v>
      </x:c>
      <x:c r="Q190" s="56" t="n">
        <x:v>30</x:v>
      </x:c>
    </x:row>
    <x:row r="191">
      <x:c r="O191" s="54" t="n">
        <x:v>186</x:v>
      </x:c>
      <x:c r="P191" s="94" t="n">
        <x:v>5812.5</x:v>
      </x:c>
      <x:c r="Q191" s="56" t="n">
        <x:v>30</x:v>
      </x:c>
    </x:row>
    <x:row r="192">
      <x:c r="O192" s="54" t="n">
        <x:v>187</x:v>
      </x:c>
      <x:c r="P192" s="94" t="n">
        <x:v>5843.75</x:v>
      </x:c>
      <x:c r="Q192" s="56" t="n">
        <x:v>30</x:v>
      </x:c>
    </x:row>
    <x:row r="193">
      <x:c r="O193" s="54" t="n">
        <x:v>188</x:v>
      </x:c>
      <x:c r="P193" s="94" t="n">
        <x:v>5875</x:v>
      </x:c>
      <x:c r="Q193" s="56" t="n">
        <x:v>30</x:v>
      </x:c>
    </x:row>
    <x:row r="194">
      <x:c r="O194" s="54" t="n">
        <x:v>189</x:v>
      </x:c>
      <x:c r="P194" s="94" t="n">
        <x:v>5906.25</x:v>
      </x:c>
      <x:c r="Q194" s="56" t="n">
        <x:v>30</x:v>
      </x:c>
    </x:row>
    <x:row r="195">
      <x:c r="O195" s="54" t="n">
        <x:v>190</x:v>
      </x:c>
      <x:c r="P195" s="94" t="n">
        <x:v>5937.5</x:v>
      </x:c>
      <x:c r="Q195" s="56" t="n">
        <x:v>30</x:v>
      </x:c>
    </x:row>
    <x:row r="196">
      <x:c r="O196" s="54" t="n">
        <x:v>191</x:v>
      </x:c>
      <x:c r="P196" s="94" t="n">
        <x:v>5968.75</x:v>
      </x:c>
      <x:c r="Q196" s="56" t="n">
        <x:v>30</x:v>
      </x:c>
    </x:row>
    <x:row r="197">
      <x:c r="O197" s="54" t="n">
        <x:v>192</x:v>
      </x:c>
      <x:c r="P197" s="94" t="n">
        <x:v>6000</x:v>
      </x:c>
      <x:c r="Q197" s="56" t="n">
        <x:v>30</x:v>
      </x:c>
    </x:row>
    <x:row r="198">
      <x:c r="O198" s="54" t="n">
        <x:v>193</x:v>
      </x:c>
      <x:c r="P198" s="94" t="n">
        <x:v>6031.25</x:v>
      </x:c>
      <x:c r="Q198" s="56" t="n">
        <x:v>30</x:v>
      </x:c>
    </x:row>
    <x:row r="199">
      <x:c r="O199" s="54" t="n">
        <x:v>194</x:v>
      </x:c>
      <x:c r="P199" s="94" t="n">
        <x:v>6062.5</x:v>
      </x:c>
      <x:c r="Q199" s="56" t="n">
        <x:v>30</x:v>
      </x:c>
    </x:row>
    <x:row r="200">
      <x:c r="O200" s="54" t="n">
        <x:v>195</x:v>
      </x:c>
      <x:c r="P200" s="94" t="n">
        <x:v>6093.75</x:v>
      </x:c>
      <x:c r="Q200" s="56" t="n">
        <x:v>30</x:v>
      </x:c>
    </x:row>
    <x:row r="201">
      <x:c r="O201" s="54" t="n">
        <x:v>196</x:v>
      </x:c>
      <x:c r="P201" s="94" t="n">
        <x:v>6125</x:v>
      </x:c>
      <x:c r="Q201" s="56" t="n">
        <x:v>30</x:v>
      </x:c>
    </x:row>
    <x:row r="202">
      <x:c r="O202" s="54" t="n">
        <x:v>197</x:v>
      </x:c>
      <x:c r="P202" s="94" t="n">
        <x:v>6156.25</x:v>
      </x:c>
      <x:c r="Q202" s="56" t="n">
        <x:v>30</x:v>
      </x:c>
    </x:row>
    <x:row r="203">
      <x:c r="O203" s="54" t="n">
        <x:v>198</x:v>
      </x:c>
      <x:c r="P203" s="94" t="n">
        <x:v>6187.5</x:v>
      </x:c>
      <x:c r="Q203" s="56" t="n">
        <x:v>30</x:v>
      </x:c>
    </x:row>
    <x:row r="204">
      <x:c r="O204" s="54" t="n">
        <x:v>199</x:v>
      </x:c>
      <x:c r="P204" s="94" t="n">
        <x:v>6218.75</x:v>
      </x:c>
      <x:c r="Q204" s="56" t="n">
        <x:v>30</x:v>
      </x:c>
    </x:row>
    <x:row r="205">
      <x:c r="O205" s="54" t="n">
        <x:v>200</x:v>
      </x:c>
      <x:c r="P205" s="94" t="n">
        <x:v>6250</x:v>
      </x:c>
      <x:c r="Q205" s="56" t="n">
        <x:v>30</x:v>
      </x:c>
    </x:row>
    <x:row r="206">
      <x:c r="O206" s="54" t="n">
        <x:v>201</x:v>
      </x:c>
      <x:c r="P206" s="94" t="n">
        <x:v>6281.25</x:v>
      </x:c>
      <x:c r="Q206" s="56" t="n">
        <x:v>30</x:v>
      </x:c>
    </x:row>
    <x:row r="207">
      <x:c r="O207" s="54" t="n">
        <x:v>202</x:v>
      </x:c>
      <x:c r="P207" s="94" t="n">
        <x:v>6312.5</x:v>
      </x:c>
      <x:c r="Q207" s="56" t="n">
        <x:v>30</x:v>
      </x:c>
    </x:row>
    <x:row r="208">
      <x:c r="O208" s="54" t="n">
        <x:v>203</x:v>
      </x:c>
      <x:c r="P208" s="94" t="n">
        <x:v>6343.75</x:v>
      </x:c>
      <x:c r="Q208" s="56" t="n">
        <x:v>31</x:v>
      </x:c>
    </x:row>
    <x:row r="209">
      <x:c r="O209" s="54" t="n">
        <x:v>204</x:v>
      </x:c>
      <x:c r="P209" s="94" t="n">
        <x:v>6375</x:v>
      </x:c>
      <x:c r="Q209" s="56" t="n">
        <x:v>31</x:v>
      </x:c>
    </x:row>
    <x:row r="210">
      <x:c r="O210" s="54" t="n">
        <x:v>205</x:v>
      </x:c>
      <x:c r="P210" s="94" t="n">
        <x:v>6406.25</x:v>
      </x:c>
      <x:c r="Q210" s="56" t="n">
        <x:v>31</x:v>
      </x:c>
    </x:row>
    <x:row r="211">
      <x:c r="O211" s="54" t="n">
        <x:v>206</x:v>
      </x:c>
      <x:c r="P211" s="94" t="n">
        <x:v>6437.5</x:v>
      </x:c>
      <x:c r="Q211" s="56" t="n">
        <x:v>31</x:v>
      </x:c>
    </x:row>
    <x:row r="212">
      <x:c r="O212" s="54" t="n">
        <x:v>207</x:v>
      </x:c>
      <x:c r="P212" s="94" t="n">
        <x:v>6468.75</x:v>
      </x:c>
      <x:c r="Q212" s="56" t="n">
        <x:v>31</x:v>
      </x:c>
    </x:row>
    <x:row r="213">
      <x:c r="O213" s="54" t="n">
        <x:v>208</x:v>
      </x:c>
      <x:c r="P213" s="94" t="n">
        <x:v>6500</x:v>
      </x:c>
      <x:c r="Q213" s="56" t="n">
        <x:v>31</x:v>
      </x:c>
    </x:row>
    <x:row r="214">
      <x:c r="O214" s="54" t="n">
        <x:v>209</x:v>
      </x:c>
      <x:c r="P214" s="94" t="n">
        <x:v>6531.25</x:v>
      </x:c>
      <x:c r="Q214" s="56" t="n">
        <x:v>31</x:v>
      </x:c>
    </x:row>
    <x:row r="215">
      <x:c r="O215" s="54" t="n">
        <x:v>210</x:v>
      </x:c>
      <x:c r="P215" s="94" t="n">
        <x:v>6562.5</x:v>
      </x:c>
      <x:c r="Q215" s="56" t="n">
        <x:v>31</x:v>
      </x:c>
    </x:row>
    <x:row r="216">
      <x:c r="O216" s="54" t="n">
        <x:v>211</x:v>
      </x:c>
      <x:c r="P216" s="94" t="n">
        <x:v>6593.75</x:v>
      </x:c>
      <x:c r="Q216" s="56" t="n">
        <x:v>31</x:v>
      </x:c>
    </x:row>
    <x:row r="217">
      <x:c r="O217" s="54" t="n">
        <x:v>212</x:v>
      </x:c>
      <x:c r="P217" s="94" t="n">
        <x:v>6625</x:v>
      </x:c>
      <x:c r="Q217" s="56" t="n">
        <x:v>31</x:v>
      </x:c>
    </x:row>
    <x:row r="218">
      <x:c r="O218" s="54" t="n">
        <x:v>213</x:v>
      </x:c>
      <x:c r="P218" s="94" t="n">
        <x:v>6656.25</x:v>
      </x:c>
      <x:c r="Q218" s="56" t="n">
        <x:v>31</x:v>
      </x:c>
    </x:row>
    <x:row r="219">
      <x:c r="O219" s="54" t="n">
        <x:v>214</x:v>
      </x:c>
      <x:c r="P219" s="94" t="n">
        <x:v>6687.5</x:v>
      </x:c>
      <x:c r="Q219" s="56" t="n">
        <x:v>31</x:v>
      </x:c>
    </x:row>
    <x:row r="220">
      <x:c r="O220" s="54" t="n">
        <x:v>215</x:v>
      </x:c>
      <x:c r="P220" s="94" t="n">
        <x:v>6718.75</x:v>
      </x:c>
      <x:c r="Q220" s="56" t="n">
        <x:v>31</x:v>
      </x:c>
    </x:row>
    <x:row r="221">
      <x:c r="O221" s="54" t="n">
        <x:v>216</x:v>
      </x:c>
      <x:c r="P221" s="94" t="n">
        <x:v>6750</x:v>
      </x:c>
      <x:c r="Q221" s="56" t="n">
        <x:v>31</x:v>
      </x:c>
    </x:row>
    <x:row r="222">
      <x:c r="O222" s="54" t="n">
        <x:v>217</x:v>
      </x:c>
      <x:c r="P222" s="94" t="n">
        <x:v>6781.25</x:v>
      </x:c>
      <x:c r="Q222" s="56" t="n">
        <x:v>31</x:v>
      </x:c>
    </x:row>
    <x:row r="223">
      <x:c r="O223" s="54" t="n">
        <x:v>218</x:v>
      </x:c>
      <x:c r="P223" s="94" t="n">
        <x:v>6812.5</x:v>
      </x:c>
      <x:c r="Q223" s="56" t="n">
        <x:v>31</x:v>
      </x:c>
    </x:row>
    <x:row r="224">
      <x:c r="O224" s="54" t="n">
        <x:v>219</x:v>
      </x:c>
      <x:c r="P224" s="94" t="n">
        <x:v>6843.75</x:v>
      </x:c>
      <x:c r="Q224" s="56" t="n">
        <x:v>31</x:v>
      </x:c>
    </x:row>
    <x:row r="225">
      <x:c r="O225" s="54" t="n">
        <x:v>220</x:v>
      </x:c>
      <x:c r="P225" s="94" t="n">
        <x:v>6875</x:v>
      </x:c>
      <x:c r="Q225" s="56" t="n">
        <x:v>31</x:v>
      </x:c>
    </x:row>
    <x:row r="226">
      <x:c r="O226" s="54" t="n">
        <x:v>221</x:v>
      </x:c>
      <x:c r="P226" s="94" t="n">
        <x:v>6906.25</x:v>
      </x:c>
      <x:c r="Q226" s="56" t="n">
        <x:v>31</x:v>
      </x:c>
    </x:row>
    <x:row r="227">
      <x:c r="O227" s="54" t="n">
        <x:v>222</x:v>
      </x:c>
      <x:c r="P227" s="94" t="n">
        <x:v>6937.5</x:v>
      </x:c>
      <x:c r="Q227" s="56" t="n">
        <x:v>31</x:v>
      </x:c>
    </x:row>
    <x:row r="228">
      <x:c r="O228" s="54" t="n">
        <x:v>223</x:v>
      </x:c>
      <x:c r="P228" s="94" t="n">
        <x:v>6968.75</x:v>
      </x:c>
      <x:c r="Q228" s="56" t="n">
        <x:v>31</x:v>
      </x:c>
    </x:row>
    <x:row r="229">
      <x:c r="O229" s="54" t="n">
        <x:v>224</x:v>
      </x:c>
      <x:c r="P229" s="94" t="n">
        <x:v>7000</x:v>
      </x:c>
      <x:c r="Q229" s="56" t="n">
        <x:v>31</x:v>
      </x:c>
    </x:row>
    <x:row r="230">
      <x:c r="O230" s="54" t="n">
        <x:v>225</x:v>
      </x:c>
      <x:c r="P230" s="94" t="n">
        <x:v>7031.25</x:v>
      </x:c>
      <x:c r="Q230" s="56" t="n">
        <x:v>31</x:v>
      </x:c>
    </x:row>
    <x:row r="231">
      <x:c r="O231" s="54" t="n">
        <x:v>226</x:v>
      </x:c>
      <x:c r="P231" s="94" t="n">
        <x:v>7062.5</x:v>
      </x:c>
      <x:c r="Q231" s="56" t="n">
        <x:v>31</x:v>
      </x:c>
    </x:row>
    <x:row r="232">
      <x:c r="O232" s="54" t="n">
        <x:v>227</x:v>
      </x:c>
      <x:c r="P232" s="94" t="n">
        <x:v>7093.75</x:v>
      </x:c>
      <x:c r="Q232" s="56" t="n">
        <x:v>32</x:v>
      </x:c>
    </x:row>
    <x:row r="233">
      <x:c r="O233" s="54" t="n">
        <x:v>228</x:v>
      </x:c>
      <x:c r="P233" s="94" t="n">
        <x:v>7125</x:v>
      </x:c>
      <x:c r="Q233" s="56" t="n">
        <x:v>32</x:v>
      </x:c>
    </x:row>
    <x:row r="234">
      <x:c r="O234" s="54" t="n">
        <x:v>229</x:v>
      </x:c>
      <x:c r="P234" s="94" t="n">
        <x:v>7156.25</x:v>
      </x:c>
      <x:c r="Q234" s="56" t="n">
        <x:v>32</x:v>
      </x:c>
    </x:row>
    <x:row r="235">
      <x:c r="O235" s="54" t="n">
        <x:v>230</x:v>
      </x:c>
      <x:c r="P235" s="94" t="n">
        <x:v>7187.5</x:v>
      </x:c>
      <x:c r="Q235" s="56" t="n">
        <x:v>32</x:v>
      </x:c>
    </x:row>
    <x:row r="236">
      <x:c r="O236" s="54" t="n">
        <x:v>231</x:v>
      </x:c>
      <x:c r="P236" s="94" t="n">
        <x:v>7218.75</x:v>
      </x:c>
      <x:c r="Q236" s="56" t="n">
        <x:v>32</x:v>
      </x:c>
    </x:row>
    <x:row r="237">
      <x:c r="O237" s="54" t="n">
        <x:v>232</x:v>
      </x:c>
      <x:c r="P237" s="94" t="n">
        <x:v>7250</x:v>
      </x:c>
      <x:c r="Q237" s="56" t="n">
        <x:v>32</x:v>
      </x:c>
    </x:row>
    <x:row r="238">
      <x:c r="O238" s="54" t="n">
        <x:v>233</x:v>
      </x:c>
      <x:c r="P238" s="94" t="n">
        <x:v>7281.25</x:v>
      </x:c>
      <x:c r="Q238" s="56" t="n">
        <x:v>32</x:v>
      </x:c>
    </x:row>
    <x:row r="239">
      <x:c r="O239" s="54" t="n">
        <x:v>234</x:v>
      </x:c>
      <x:c r="P239" s="94" t="n">
        <x:v>7312.5</x:v>
      </x:c>
      <x:c r="Q239" s="56" t="n">
        <x:v>32</x:v>
      </x:c>
    </x:row>
    <x:row r="240">
      <x:c r="O240" s="54" t="n">
        <x:v>235</x:v>
      </x:c>
      <x:c r="P240" s="94" t="n">
        <x:v>7343.75</x:v>
      </x:c>
      <x:c r="Q240" s="56" t="n">
        <x:v>32</x:v>
      </x:c>
    </x:row>
    <x:row r="241">
      <x:c r="O241" s="54" t="n">
        <x:v>236</x:v>
      </x:c>
      <x:c r="P241" s="94" t="n">
        <x:v>7375</x:v>
      </x:c>
      <x:c r="Q241" s="56" t="n">
        <x:v>32</x:v>
      </x:c>
    </x:row>
    <x:row r="242">
      <x:c r="O242" s="54" t="n">
        <x:v>237</x:v>
      </x:c>
      <x:c r="P242" s="94" t="n">
        <x:v>7406.25</x:v>
      </x:c>
      <x:c r="Q242" s="56" t="n">
        <x:v>32</x:v>
      </x:c>
    </x:row>
    <x:row r="243">
      <x:c r="O243" s="54" t="n">
        <x:v>238</x:v>
      </x:c>
      <x:c r="P243" s="94" t="n">
        <x:v>7437.5</x:v>
      </x:c>
      <x:c r="Q243" s="56" t="n">
        <x:v>32</x:v>
      </x:c>
    </x:row>
    <x:row r="244">
      <x:c r="O244" s="54" t="n">
        <x:v>239</x:v>
      </x:c>
      <x:c r="P244" s="94" t="n">
        <x:v>7468.75</x:v>
      </x:c>
      <x:c r="Q244" s="56" t="n">
        <x:v>32</x:v>
      </x:c>
    </x:row>
    <x:row r="245">
      <x:c r="O245" s="54" t="n">
        <x:v>240</x:v>
      </x:c>
      <x:c r="P245" s="94" t="n">
        <x:v>7500</x:v>
      </x:c>
      <x:c r="Q245" s="56" t="n">
        <x:v>32</x:v>
      </x:c>
    </x:row>
    <x:row r="246">
      <x:c r="O246" s="54" t="n">
        <x:v>241</x:v>
      </x:c>
      <x:c r="P246" s="94" t="n">
        <x:v>7531.25</x:v>
      </x:c>
      <x:c r="Q246" s="56" t="n">
        <x:v>32</x:v>
      </x:c>
    </x:row>
    <x:row r="247">
      <x:c r="O247" s="54" t="n">
        <x:v>242</x:v>
      </x:c>
      <x:c r="P247" s="94" t="n">
        <x:v>7562.5</x:v>
      </x:c>
      <x:c r="Q247" s="56" t="n">
        <x:v>32</x:v>
      </x:c>
    </x:row>
    <x:row r="248">
      <x:c r="O248" s="54" t="n">
        <x:v>243</x:v>
      </x:c>
      <x:c r="P248" s="94" t="n">
        <x:v>7593.75</x:v>
      </x:c>
      <x:c r="Q248" s="56" t="n">
        <x:v>32</x:v>
      </x:c>
    </x:row>
    <x:row r="249">
      <x:c r="O249" s="54" t="n">
        <x:v>244</x:v>
      </x:c>
      <x:c r="P249" s="94" t="n">
        <x:v>7625</x:v>
      </x:c>
      <x:c r="Q249" s="56" t="n">
        <x:v>32</x:v>
      </x:c>
    </x:row>
    <x:row r="250">
      <x:c r="O250" s="54" t="n">
        <x:v>245</x:v>
      </x:c>
      <x:c r="P250" s="94" t="n">
        <x:v>7656.25</x:v>
      </x:c>
      <x:c r="Q250" s="56" t="n">
        <x:v>32</x:v>
      </x:c>
    </x:row>
    <x:row r="251">
      <x:c r="O251" s="54" t="n">
        <x:v>246</x:v>
      </x:c>
      <x:c r="P251" s="94" t="n">
        <x:v>7687.5</x:v>
      </x:c>
      <x:c r="Q251" s="56" t="n">
        <x:v>32</x:v>
      </x:c>
    </x:row>
    <x:row r="252">
      <x:c r="O252" s="54" t="n">
        <x:v>247</x:v>
      </x:c>
      <x:c r="P252" s="94" t="n">
        <x:v>7718.75</x:v>
      </x:c>
      <x:c r="Q252" s="56" t="n">
        <x:v>32</x:v>
      </x:c>
    </x:row>
    <x:row r="253">
      <x:c r="O253" s="54" t="n">
        <x:v>248</x:v>
      </x:c>
      <x:c r="P253" s="94" t="n">
        <x:v>7750</x:v>
      </x:c>
      <x:c r="Q253" s="56" t="n">
        <x:v>32</x:v>
      </x:c>
    </x:row>
    <x:row r="254">
      <x:c r="O254" s="54" t="n">
        <x:v>249</x:v>
      </x:c>
      <x:c r="P254" s="94" t="n">
        <x:v>7781.25</x:v>
      </x:c>
      <x:c r="Q254" s="56" t="n">
        <x:v>32</x:v>
      </x:c>
    </x:row>
    <x:row r="255">
      <x:c r="O255" s="54" t="n">
        <x:v>250</x:v>
      </x:c>
      <x:c r="P255" s="94" t="n">
        <x:v>7812.5</x:v>
      </x:c>
      <x:c r="Q255" s="56" t="n">
        <x:v>32</x:v>
      </x:c>
    </x:row>
    <x:row r="256">
      <x:c r="O256" s="54" t="n">
        <x:v>251</x:v>
      </x:c>
      <x:c r="P256" s="94" t="n">
        <x:v>7843.75</x:v>
      </x:c>
      <x:c r="Q256" s="56" t="n">
        <x:v>32</x:v>
      </x:c>
    </x:row>
    <x:row r="257">
      <x:c r="O257" s="54" t="n">
        <x:v>252</x:v>
      </x:c>
      <x:c r="P257" s="94" t="n">
        <x:v>7875</x:v>
      </x:c>
      <x:c r="Q257" s="56" t="n">
        <x:v>32</x:v>
      </x:c>
    </x:row>
    <x:row r="258">
      <x:c r="O258" s="54" t="n">
        <x:v>253</x:v>
      </x:c>
      <x:c r="P258" s="94" t="n">
        <x:v>7906.25</x:v>
      </x:c>
      <x:c r="Q258" s="56" t="n">
        <x:v>0</x:v>
      </x:c>
    </x:row>
    <x:row r="259">
      <x:c r="O259" s="54" t="n">
        <x:v>254</x:v>
      </x:c>
      <x:c r="P259" s="94" t="n">
        <x:v>7937.5</x:v>
      </x:c>
      <x:c r="Q259" s="56" t="n">
        <x:v>0</x:v>
      </x:c>
    </x:row>
    <x:row r="260">
      <x:c r="O260" s="57" t="n">
        <x:v>255</x:v>
      </x:c>
      <x:c r="P260" s="95" t="n">
        <x:v>7968.75</x:v>
      </x:c>
      <x:c r="Q260" s="59" t="n">
        <x:v>0</x:v>
      </x:c>
    </x:row>
  </x:sheetData>
  <x:mergeCells>
    <x:mergeCell ref="A1:Q1"/>
    <x:mergeCell ref="A2:Q2"/>
    <x:mergeCell ref="A3:G3"/>
    <x:mergeCell ref="I3:J3"/>
    <x:mergeCell ref="I10:N10"/>
    <x:mergeCell ref="I17:N17"/>
    <x:mergeCell ref="A17:G17"/>
    <x:mergeCell ref="I23:J23"/>
    <x:mergeCell ref="O3:Q3"/>
    <x:mergeCell ref="A33:G33"/>
  </x:mergeCells>
  <x:pageMargins left="0.7" right="0.7" top="0.75" bottom="0.75" header="0.3" footer="0.3"/>
</x:worksheet>
</file>