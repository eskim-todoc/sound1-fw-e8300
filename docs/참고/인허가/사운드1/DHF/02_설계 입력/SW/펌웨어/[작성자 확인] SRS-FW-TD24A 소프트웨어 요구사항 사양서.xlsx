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workspace\projects\sound1-fw-e8300-backup\docs\참고\인허가\사운드1\DHF\02_설계 입력\SW\펌웨어\"/>
    </mc:Choice>
  </mc:AlternateContent>
  <xr:revisionPtr revIDLastSave="0" documentId="8_{1DB6A880-0FAE-4DCC-AA2A-C9DD33E0AADF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표지" sheetId="1" r:id="rId1"/>
    <sheet name="소프트웨어 입력 요구사항 사양서" sheetId="3" r:id="rId2"/>
    <sheet name="소프트웨어 입력 요구사항 사양서_변경 비교" sheetId="8" r:id="rId3"/>
  </sheets>
  <definedNames>
    <definedName name="_xlnm.Print_Area" localSheetId="1">'소프트웨어 입력 요구사항 사양서'!$B$3:$I$92</definedName>
    <definedName name="_xlnm.Print_Area" localSheetId="2">'소프트웨어 입력 요구사항 사양서_변경 비교'!$A$1:$I$127</definedName>
    <definedName name="_xlnm.Print_Titles" localSheetId="2">'소프트웨어 입력 요구사항 사양서_변경 비교'!$4:$5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3" l="1"/>
  <c r="G92" i="3"/>
  <c r="G91" i="3"/>
  <c r="G90" i="3"/>
  <c r="G89" i="3"/>
  <c r="G88" i="3"/>
  <c r="G87" i="3"/>
  <c r="G86" i="3"/>
  <c r="G85" i="3"/>
  <c r="G84" i="3"/>
  <c r="G83" i="3"/>
  <c r="G82" i="3"/>
  <c r="G81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1" i="3"/>
  <c r="G60" i="3"/>
  <c r="G59" i="3"/>
  <c r="G58" i="3"/>
  <c r="G57" i="3"/>
  <c r="G56" i="3"/>
  <c r="G55" i="3"/>
  <c r="G54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johnnyTodoc</author>
  </authors>
  <commentList>
    <comment ref="B54" authorId="0" shapeId="0" xr:uid="{B3869456-A583-49D1-9B7C-7D597F62B26F}">
      <text>
        <r>
          <rPr>
            <b/>
            <sz val="9"/>
            <color indexed="81"/>
            <rFont val="Tahoma"/>
            <family val="2"/>
          </rPr>
          <t>johnnyTodoc: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내부기</t>
        </r>
        <r>
          <rPr>
            <sz val="9"/>
            <color indexed="81"/>
            <rFont val="Tahoma"/>
            <family val="2"/>
          </rPr>
          <t xml:space="preserve"> ID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passkey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하드웨어적인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보안기능이다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펌웨어는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passkey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johnnyTodoc</author>
  </authors>
  <commentList>
    <comment ref="B66" authorId="0" shapeId="0" xr:uid="{0FFEF147-425B-40B6-A85B-E8702A2071A7}">
      <text>
        <r>
          <rPr>
            <b/>
            <sz val="9"/>
            <color indexed="81"/>
            <rFont val="Tahoma"/>
            <family val="2"/>
          </rPr>
          <t>johnnyTodoc: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내부기</t>
        </r>
        <r>
          <rPr>
            <sz val="9"/>
            <color indexed="81"/>
            <rFont val="Tahoma"/>
            <family val="2"/>
          </rPr>
          <t xml:space="preserve"> ID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passkey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내부기의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하드웨어적인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보안기능이다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펌웨어는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passkey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<sst xmlns="http://schemas.openxmlformats.org/spreadsheetml/2006/main" count="741" uniqueCount="346">
  <si>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</si>
  <si>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</si>
  <si>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</si>
  <si>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</si>
  <si>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</si>
  <si>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</si>
  <si>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</si>
  <si>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</si>
  <si>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</si>
  <si>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</si>
  <si>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요구사항 식별</t>
    <phoneticPr fontId="1" type="noConversion"/>
  </si>
  <si>
    <t xml:space="preserve">자극율 </t>
    <phoneticPr fontId="1" type="noConversion"/>
  </si>
  <si>
    <t>자극 모드</t>
    <phoneticPr fontId="1" type="noConversion"/>
  </si>
  <si>
    <t>선행 펄스 모양</t>
    <phoneticPr fontId="1" type="noConversion"/>
  </si>
  <si>
    <t xml:space="preserve">자극 크기 </t>
    <phoneticPr fontId="1" type="noConversion"/>
  </si>
  <si>
    <t>입력</t>
    <phoneticPr fontId="1" type="noConversion"/>
  </si>
  <si>
    <t>입력단</t>
    <phoneticPr fontId="1" type="noConversion"/>
  </si>
  <si>
    <t>출력단</t>
    <phoneticPr fontId="1" type="noConversion"/>
  </si>
  <si>
    <t>기기 인터페이스</t>
    <phoneticPr fontId="1" type="noConversion"/>
  </si>
  <si>
    <t>리모콘</t>
    <phoneticPr fontId="1" type="noConversion"/>
  </si>
  <si>
    <t xml:space="preserve">자극 펄스폭  </t>
    <phoneticPr fontId="1" type="noConversion"/>
  </si>
  <si>
    <t>negative/positive phase 선택이 가능해야 한다.</t>
    <phoneticPr fontId="1" type="noConversion"/>
  </si>
  <si>
    <t>1~32채널의 대역수로 주파수 분석이 가능해야한다.</t>
    <phoneticPr fontId="1" type="noConversion"/>
  </si>
  <si>
    <t>오디오 신호처리의 최종 출력은 PCM 데이터로 변환되어 FPGA에 전달되어야 한다.</t>
    <phoneticPr fontId="1" type="noConversion"/>
  </si>
  <si>
    <t>내용 상세</t>
    <phoneticPr fontId="1" type="noConversion"/>
  </si>
  <si>
    <t>매핑 데이터</t>
    <phoneticPr fontId="1" type="noConversion"/>
  </si>
  <si>
    <t>I2C 프로토콜을 사용하여 FPGA와 데이터 송/수신이 가능해야한다.</t>
    <phoneticPr fontId="1" type="noConversion"/>
  </si>
  <si>
    <t xml:space="preserve">FPGA </t>
    <phoneticPr fontId="1" type="noConversion"/>
  </si>
  <si>
    <t>센서</t>
    <phoneticPr fontId="1" type="noConversion"/>
  </si>
  <si>
    <t>프로그램 변경하기</t>
    <phoneticPr fontId="1" type="noConversion"/>
  </si>
  <si>
    <t>오디오 볼륨 조절하기</t>
    <phoneticPr fontId="1" type="noConversion"/>
  </si>
  <si>
    <t>자극 볼륨 조절하기</t>
    <phoneticPr fontId="1" type="noConversion"/>
  </si>
  <si>
    <t>자극 알림 켜기/끄기</t>
    <phoneticPr fontId="1" type="noConversion"/>
  </si>
  <si>
    <t>LED 알림 켜기/끄기</t>
    <phoneticPr fontId="1" type="noConversion"/>
  </si>
  <si>
    <t>배터리 상태</t>
    <phoneticPr fontId="1" type="noConversion"/>
  </si>
  <si>
    <t>오디오 볼륨 단계</t>
    <phoneticPr fontId="1" type="noConversion"/>
  </si>
  <si>
    <t>자극 볼륨 단계</t>
    <phoneticPr fontId="1" type="noConversion"/>
  </si>
  <si>
    <t>LED 알림 설정 상태</t>
    <phoneticPr fontId="1" type="noConversion"/>
  </si>
  <si>
    <t>자극 알림 설정 상태</t>
    <phoneticPr fontId="1" type="noConversion"/>
  </si>
  <si>
    <t>입력(수신)</t>
    <phoneticPr fontId="1" type="noConversion"/>
  </si>
  <si>
    <t>출력(송신)</t>
    <phoneticPr fontId="1" type="noConversion"/>
  </si>
  <si>
    <t>사용자 인터페이스
(외부기 자체)</t>
    <phoneticPr fontId="1" type="noConversion"/>
  </si>
  <si>
    <t>선택된 맵 번호</t>
    <phoneticPr fontId="1" type="noConversion"/>
  </si>
  <si>
    <t>사용자 인터페이스
(리모콘 앱 통신)</t>
    <phoneticPr fontId="1" type="noConversion"/>
  </si>
  <si>
    <t>자극 크기/펄스폭 관계</t>
    <phoneticPr fontId="1" type="noConversion"/>
  </si>
  <si>
    <t>자극 기법</t>
    <phoneticPr fontId="1" type="noConversion"/>
  </si>
  <si>
    <t>NA</t>
    <phoneticPr fontId="1" type="noConversion"/>
  </si>
  <si>
    <t>소분류</t>
    <phoneticPr fontId="1" type="noConversion"/>
  </si>
  <si>
    <t>대분류 (IEC 62304 5.2.2)</t>
    <phoneticPr fontId="1" type="noConversion"/>
  </si>
  <si>
    <t>c) 소프트웨어 시스템과 다른 소프트웨어 사이의 연계성
(interfaces between the SOFTWARE SYSTEM and other SYSTEMS)</t>
    <phoneticPr fontId="1" type="noConversion"/>
  </si>
  <si>
    <t>d) 소프트웨어 구동 경보, 경고 및 운영자 메시지
(software-driven alarms, warnings, and operator messages)</t>
    <phoneticPr fontId="1" type="noConversion"/>
  </si>
  <si>
    <t>f) 사람에 의해 발생하는 오류와 훈련에 민감한 사용성 공학 요구사항
(usability engineering requirements that are sensitive to human errors and training)</t>
    <phoneticPr fontId="1" type="noConversion"/>
  </si>
  <si>
    <t>g) 데이터 정의 및 데이터 베이스 요구사항
(data definition and database requirements)</t>
    <phoneticPr fontId="1" type="noConversion"/>
  </si>
  <si>
    <t>h) 운영 및 유지보수 현장에 인도된 의료기기 소프트웨어의 설치 및 인수 요구사항
(installation and acceptance requirements of the delivered MEDICAL DEVICE SOFTWARE at the operation and maintenance site or sites)</t>
    <phoneticPr fontId="1" type="noConversion"/>
  </si>
  <si>
    <t>i) 운영 및 유지보수 방법에 관련된 요구사항
requirements related to methods of operation and maintenance</t>
    <phoneticPr fontId="1" type="noConversion"/>
  </si>
  <si>
    <t>j) 개발할 사용자 설명서
(user documentation to be developed)</t>
    <phoneticPr fontId="1" type="noConversion"/>
  </si>
  <si>
    <t>k) 사용자 유지보수 요구사항
(user maintenance requirements)</t>
    <phoneticPr fontId="1" type="noConversion"/>
  </si>
  <si>
    <t>l) 규제적 요구사항
(regulatory requirements)</t>
    <phoneticPr fontId="1" type="noConversion"/>
  </si>
  <si>
    <t>매핑 데이터에 기반하여 최종 자극 파라미터가 생성되어야 한다.</t>
    <phoneticPr fontId="1" type="noConversion"/>
  </si>
  <si>
    <t>인공와우 내부기 시스템의 전극에서 출력되는 최대 전하량이 안전치를 초과하지 않도록 펄스폭에 따라 최종 자극 크기의 제한이 필요하다.</t>
    <phoneticPr fontId="1" type="noConversion"/>
  </si>
  <si>
    <t>주파수 분석 방법</t>
    <phoneticPr fontId="1" type="noConversion"/>
  </si>
  <si>
    <t>주파수 분석 대역수</t>
    <phoneticPr fontId="1" type="noConversion"/>
  </si>
  <si>
    <t>자극 출력 조정</t>
    <phoneticPr fontId="1" type="noConversion"/>
  </si>
  <si>
    <t>사운드  처리</t>
    <phoneticPr fontId="1" type="noConversion"/>
  </si>
  <si>
    <t>FFT 방식으로 신호의 주파수를 성분을 분석한다.</t>
    <phoneticPr fontId="1" type="noConversion"/>
  </si>
  <si>
    <t>사운드 처리 주기</t>
    <phoneticPr fontId="1" type="noConversion"/>
  </si>
  <si>
    <t>자극 볼륨 조절</t>
    <phoneticPr fontId="1" type="noConversion"/>
  </si>
  <si>
    <t>b) 소프트웨어 시스템 입력과 출력
(SOFTWARE SYSTEM inputs and outputs)</t>
    <phoneticPr fontId="1" type="noConversion"/>
  </si>
  <si>
    <t>e) 보안 요구사항
(SECURITY requirements)</t>
    <phoneticPr fontId="1" type="noConversion"/>
  </si>
  <si>
    <t>채널별 최대</t>
    <phoneticPr fontId="1" type="noConversion"/>
  </si>
  <si>
    <t>다른 발생원 추적
(설계 입력 요구사항 사양서)</t>
    <phoneticPr fontId="1" type="noConversion"/>
  </si>
  <si>
    <t>펌웨어 부분</t>
    <phoneticPr fontId="1" type="noConversion"/>
  </si>
  <si>
    <t>그 외</t>
    <phoneticPr fontId="1" type="noConversion"/>
  </si>
  <si>
    <t>IEC 60601-1
(IEC 62304에 포함되지 않은 사항)</t>
    <phoneticPr fontId="1" type="noConversion"/>
  </si>
  <si>
    <t>사이버 보안</t>
    <phoneticPr fontId="1" type="noConversion"/>
  </si>
  <si>
    <t>LED 출력</t>
    <phoneticPr fontId="1" type="noConversion"/>
  </si>
  <si>
    <t>자극 출력</t>
    <phoneticPr fontId="1" type="noConversion"/>
  </si>
  <si>
    <t>중복실수</t>
    <phoneticPr fontId="1" type="noConversion"/>
  </si>
  <si>
    <t xml:space="preserve">소프트웨어 요구사항 </t>
    <phoneticPr fontId="1" type="noConversion"/>
  </si>
  <si>
    <t>마이크 감도 
조절 기능</t>
    <phoneticPr fontId="1" type="noConversion"/>
  </si>
  <si>
    <t>전채널 최대</t>
    <phoneticPr fontId="1" type="noConversion"/>
  </si>
  <si>
    <t>자극 볼륨은 4단계로 조정 가능해야한다.</t>
    <phoneticPr fontId="1" type="noConversion"/>
  </si>
  <si>
    <t>모노폴라 자극 모드 출력이 가능해야한다.</t>
    <phoneticPr fontId="1" type="noConversion"/>
  </si>
  <si>
    <t>내부 자극칩 출력 범위 내에서 조정이 가능해야 한다.</t>
    <phoneticPr fontId="1" type="noConversion"/>
  </si>
  <si>
    <t>전처리</t>
    <phoneticPr fontId="1" type="noConversion"/>
  </si>
  <si>
    <t>AGC를 사용한 감도 조절 10단계</t>
    <phoneticPr fontId="1" type="noConversion"/>
  </si>
  <si>
    <t>기능</t>
    <phoneticPr fontId="1" type="noConversion"/>
  </si>
  <si>
    <t>프로그램 수</t>
    <phoneticPr fontId="1" type="noConversion"/>
  </si>
  <si>
    <t>4개의 맵 데이터를 사용할 수 있어야 한다.</t>
    <phoneticPr fontId="1" type="noConversion"/>
  </si>
  <si>
    <t>출력</t>
    <phoneticPr fontId="1" type="noConversion"/>
  </si>
  <si>
    <t>PMIC</t>
    <phoneticPr fontId="1" type="noConversion"/>
  </si>
  <si>
    <t>I2C를 프로토콜을 사용하여 PMIC의 조정이 가능해야한다.</t>
    <phoneticPr fontId="1" type="noConversion"/>
  </si>
  <si>
    <t>리모콘 앱이 실행되는 스마트폰과 블루투스를 사용하여 데이터 통신이 가능해야한다.</t>
    <phoneticPr fontId="1" type="noConversion"/>
  </si>
  <si>
    <t>사용자 인터페이스
(매핑 앱 통신)</t>
    <phoneticPr fontId="1" type="noConversion"/>
  </si>
  <si>
    <t xml:space="preserve">시스템 상태 </t>
    <phoneticPr fontId="1" type="noConversion"/>
  </si>
  <si>
    <t>특정 자극 출력</t>
    <phoneticPr fontId="1" type="noConversion"/>
  </si>
  <si>
    <t>특정 자극 출력 결과</t>
    <phoneticPr fontId="1" type="noConversion"/>
  </si>
  <si>
    <t>실시간 자극 진행 상태</t>
    <phoneticPr fontId="1" type="noConversion"/>
  </si>
  <si>
    <t>매핑</t>
    <phoneticPr fontId="1" type="noConversion"/>
  </si>
  <si>
    <t>시스템 상태 확인</t>
    <phoneticPr fontId="1" type="noConversion"/>
  </si>
  <si>
    <t xml:space="preserve">실시간 자극 출력 진행 </t>
    <phoneticPr fontId="1" type="noConversion"/>
  </si>
  <si>
    <t>a) 기능 및 성능 요구사항
functional and capability requirements</t>
    <phoneticPr fontId="1" type="noConversion"/>
  </si>
  <si>
    <t>외부기 동작 상태를 표시한다.</t>
    <phoneticPr fontId="1" type="noConversion"/>
  </si>
  <si>
    <t>전원 커넥터 연결 상태를 표시한다.</t>
    <phoneticPr fontId="1" type="noConversion"/>
  </si>
  <si>
    <t>배터리 저전압 상태를  표시한다.</t>
    <phoneticPr fontId="1" type="noConversion"/>
  </si>
  <si>
    <t>배터리 저전압 상태를 자극으로 출력한다.</t>
    <phoneticPr fontId="1" type="noConversion"/>
  </si>
  <si>
    <t>Rev. 0</t>
    <phoneticPr fontId="3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</si>
  <si>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</si>
  <si>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</si>
  <si>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</si>
  <si>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최초 작성</t>
    <phoneticPr fontId="3" type="noConversion"/>
  </si>
  <si>
    <t>SRS-FW-TD24A</t>
  </si>
  <si>
    <t>소프트웨어 요구사항 사양서
(TD24A-A-EXT)</t>
  </si>
  <si>
    <t>토닥 / 수석연구원</t>
  </si>
  <si>
    <t>김은수</t>
  </si>
  <si>
    <t>SW-FW-RID-1</t>
  </si>
  <si>
    <t>SW-FW-RID-2</t>
  </si>
  <si>
    <t>SW-FW-RID-3</t>
  </si>
  <si>
    <t>SW-FW-RID-4</t>
  </si>
  <si>
    <t>SW-FW-RID-5</t>
  </si>
  <si>
    <t>SW-FW-RID-6</t>
  </si>
  <si>
    <t>SW-FW-RID-7</t>
  </si>
  <si>
    <t>SW-FW-RID-8</t>
  </si>
  <si>
    <t>SW-FW-RID-9</t>
  </si>
  <si>
    <t>SW-FW-RID-10</t>
  </si>
  <si>
    <t>SW-FW-RID-11</t>
  </si>
  <si>
    <t>SW-FW-RID-12</t>
  </si>
  <si>
    <t>SW-FW-RID-13</t>
  </si>
  <si>
    <t>SW-FW-RID-14</t>
  </si>
  <si>
    <t>SW-FW-RID-15</t>
  </si>
  <si>
    <t>SW-FW-RID-16</t>
  </si>
  <si>
    <t>SW-FW-RID-17</t>
  </si>
  <si>
    <t>SW-FW-RID-18</t>
  </si>
  <si>
    <t>SW-FW-RID-19</t>
  </si>
  <si>
    <t>SW-FW-RID-20</t>
  </si>
  <si>
    <t>SW-FW-RID-21</t>
  </si>
  <si>
    <t>SW-FW-RID-22</t>
  </si>
  <si>
    <t>SW-FW-RID-23</t>
  </si>
  <si>
    <t>SW-FW-RID-24</t>
  </si>
  <si>
    <t>SW-FW-RID-25</t>
  </si>
  <si>
    <t>SW-FW-RID-26</t>
  </si>
  <si>
    <t>SW-FW-RID-27</t>
  </si>
  <si>
    <t>SW-FW-RID-28</t>
  </si>
  <si>
    <t>SW-FW-RID-29</t>
  </si>
  <si>
    <t>SW-FW-RID-30</t>
  </si>
  <si>
    <t>SW-FW-RID-31</t>
  </si>
  <si>
    <t>SW-FW-RID-32</t>
  </si>
  <si>
    <t>SW-FW-RID-33</t>
  </si>
  <si>
    <t>SW-FW-RID-34</t>
  </si>
  <si>
    <t>SW-FW-RID-35</t>
  </si>
  <si>
    <t>SW-FW-RID-36</t>
  </si>
  <si>
    <t>SW-FW-RID-37</t>
  </si>
  <si>
    <t>SW-FW-RID-38</t>
  </si>
  <si>
    <t>SW-FW-RID-39</t>
  </si>
  <si>
    <t>SW-FW-RID-40</t>
  </si>
  <si>
    <t>SW-FW-RID-41</t>
  </si>
  <si>
    <t>SW-FW-RID-42</t>
  </si>
  <si>
    <t>SW-FW-RID-43</t>
  </si>
  <si>
    <t>SW-FW-RID-44</t>
  </si>
  <si>
    <t>SW-FW-RID-45</t>
  </si>
  <si>
    <t>SW-FW-RID-46</t>
  </si>
  <si>
    <t>SW-FW-RID-47</t>
  </si>
  <si>
    <t>SW-FW-RID-48</t>
  </si>
  <si>
    <t>SW-FW-RID-49</t>
  </si>
  <si>
    <t>SW-FW-RID-50</t>
  </si>
  <si>
    <t>SW-FW-RID-51</t>
  </si>
  <si>
    <t>SW-FW-RID-52</t>
  </si>
  <si>
    <t>SW-FW-RID-53</t>
  </si>
  <si>
    <t>SW-FW-RID-54</t>
  </si>
  <si>
    <t>SW-FW-RID-55</t>
  </si>
  <si>
    <t>SW-FW-RID-56</t>
  </si>
  <si>
    <t>SW-FW-RID-57</t>
  </si>
  <si>
    <t>SW-FW-RID-58</t>
  </si>
  <si>
    <t>SW-FW-RID-59</t>
  </si>
  <si>
    <t>SW-FW-RID-60</t>
  </si>
  <si>
    <t>SW-FW-RID-61</t>
  </si>
  <si>
    <t>SW-FW-RID-62</t>
  </si>
  <si>
    <t>SW-FW-RID-63</t>
  </si>
  <si>
    <t>SW-FW-RID-64</t>
  </si>
  <si>
    <t>SW-FW-RID-65</t>
  </si>
  <si>
    <t>SW-FW-RID-66</t>
  </si>
  <si>
    <t>SW-FW-RID-67</t>
  </si>
  <si>
    <t>SW-FW-RID-68</t>
  </si>
  <si>
    <t>SW-FW-RID-69</t>
  </si>
  <si>
    <t>SW-FW-RID-70</t>
  </si>
  <si>
    <t>SW-FW-RID-71</t>
  </si>
  <si>
    <t>SW-FW-RID-72</t>
  </si>
  <si>
    <t>SW-FW-RID-73</t>
  </si>
  <si>
    <t>SW-FW-RID-74</t>
  </si>
  <si>
    <t>SW-FW-RID-75</t>
  </si>
  <si>
    <t>SW-FW-RID-76</t>
  </si>
  <si>
    <t>SW-FW-RID-77</t>
  </si>
  <si>
    <t>SW-FW-RID-78</t>
  </si>
  <si>
    <t>SW-FW-RID-79</t>
  </si>
  <si>
    <t>SW-FW-RID-80</t>
  </si>
  <si>
    <t>SYS-RID-FW-2</t>
    <phoneticPr fontId="1" type="noConversion"/>
  </si>
  <si>
    <t>SYS-RID-FW-1</t>
    <phoneticPr fontId="1" type="noConversion"/>
  </si>
  <si>
    <t>SYS-RID-FW-4</t>
    <phoneticPr fontId="1" type="noConversion"/>
  </si>
  <si>
    <t>SYS-RID-FW-5</t>
    <phoneticPr fontId="1" type="noConversion"/>
  </si>
  <si>
    <t>SYS-RID-FW-3</t>
    <phoneticPr fontId="1" type="noConversion"/>
  </si>
  <si>
    <t>SYS-RID-FW-6</t>
    <phoneticPr fontId="1" type="noConversion"/>
  </si>
  <si>
    <t>SYS-RID-FW-7</t>
    <phoneticPr fontId="1" type="noConversion"/>
  </si>
  <si>
    <t>SYS-RID-FW-8</t>
    <phoneticPr fontId="1" type="noConversion"/>
  </si>
  <si>
    <t>SYS-RID-FW-9</t>
    <phoneticPr fontId="1" type="noConversion"/>
  </si>
  <si>
    <t>사운드 처리 주기는 1 ms 이하이어야 한다.</t>
    <phoneticPr fontId="1" type="noConversion"/>
  </si>
  <si>
    <t>SYS-RID-FW-10</t>
    <phoneticPr fontId="1" type="noConversion"/>
  </si>
  <si>
    <t>SYS-RID-FW-11</t>
    <phoneticPr fontId="1" type="noConversion"/>
  </si>
  <si>
    <t>SYS-RID-FW-12</t>
    <phoneticPr fontId="1" type="noConversion"/>
  </si>
  <si>
    <t>터치 센서의 입력에 따라 전원 모드와 사용자 제어를 처리한다.</t>
    <phoneticPr fontId="1" type="noConversion"/>
  </si>
  <si>
    <t>SYS-RID-FW-13</t>
    <phoneticPr fontId="1" type="noConversion"/>
  </si>
  <si>
    <t>SYS-RID-FW-14</t>
    <phoneticPr fontId="1" type="noConversion"/>
  </si>
  <si>
    <t>Bluetooth</t>
    <phoneticPr fontId="1" type="noConversion"/>
  </si>
  <si>
    <t>SYS-RID-FW-15</t>
    <phoneticPr fontId="1" type="noConversion"/>
  </si>
  <si>
    <t>SYS-RID-FW-16</t>
    <phoneticPr fontId="1" type="noConversion"/>
  </si>
  <si>
    <t>SYS-RID-FW-17</t>
    <phoneticPr fontId="1" type="noConversion"/>
  </si>
  <si>
    <t>SYS-RID-FW-22</t>
    <phoneticPr fontId="1" type="noConversion"/>
  </si>
  <si>
    <t>SYS-RID-FW-18</t>
    <phoneticPr fontId="1" type="noConversion"/>
  </si>
  <si>
    <t>SYS-RID-FW-26</t>
    <phoneticPr fontId="1" type="noConversion"/>
  </si>
  <si>
    <t>감사기록을 생성한다.</t>
    <phoneticPr fontId="1" type="noConversion"/>
  </si>
  <si>
    <t>SYS-RID-FW-23</t>
    <phoneticPr fontId="1" type="noConversion"/>
  </si>
  <si>
    <t>설정파일을 읽을 때, 파일의 무결성을 확인한다.</t>
    <phoneticPr fontId="1" type="noConversion"/>
  </si>
  <si>
    <t>SYS-RID-FW-27</t>
    <phoneticPr fontId="1" type="noConversion"/>
  </si>
  <si>
    <t>SYS-RID-FW-19</t>
    <phoneticPr fontId="1" type="noConversion"/>
  </si>
  <si>
    <t>1. 칩셋에서 부팅 과정에서 실행파일의 CRC 체크 기능 활성화
2. 칩셋에서 제공하는 무결성 방식을 사용하여 검사</t>
    <phoneticPr fontId="1" type="noConversion"/>
  </si>
  <si>
    <t>SYS-RID-FW-32</t>
    <phoneticPr fontId="1" type="noConversion"/>
  </si>
  <si>
    <t>SYS-RID-FW-20</t>
    <phoneticPr fontId="1" type="noConversion"/>
  </si>
  <si>
    <t>SYS-RID-FW-21</t>
    <phoneticPr fontId="1" type="noConversion"/>
  </si>
  <si>
    <t>감사기록 생성 실패를 오류 정보에 포함한다.</t>
    <phoneticPr fontId="1" type="noConversion"/>
  </si>
  <si>
    <t>SYS-RID-FW-24</t>
    <phoneticPr fontId="1" type="noConversion"/>
  </si>
  <si>
    <t>감사기록은 타임 스탬프를 포함한다.</t>
    <phoneticPr fontId="1" type="noConversion"/>
  </si>
  <si>
    <t>SYS-RID-FW-25</t>
    <phoneticPr fontId="1" type="noConversion"/>
  </si>
  <si>
    <t>오류 메시지에 보안과 관련되 정보를 직접 표시하지 않는다.</t>
    <phoneticPr fontId="1" type="noConversion"/>
  </si>
  <si>
    <t>SYS-RID-FW-29</t>
    <phoneticPr fontId="1" type="noConversion"/>
  </si>
  <si>
    <t>SYS-RID-FW-33</t>
    <phoneticPr fontId="1" type="noConversion"/>
  </si>
  <si>
    <t>내부장치 제조번호, 사용자 이니셜 값은 암호화 하여 저장한다.</t>
    <phoneticPr fontId="1" type="noConversion"/>
  </si>
  <si>
    <t>SYS-RID-FW-34</t>
    <phoneticPr fontId="1" type="noConversion"/>
  </si>
  <si>
    <t>무결성, 암호화에 사용되는 알고리즘은 사이버보안 규격에서 권고하는 알고리즘을 사용한다.</t>
    <phoneticPr fontId="1" type="noConversion"/>
  </si>
  <si>
    <t>SYS-RID-FW-35</t>
    <phoneticPr fontId="1" type="noConversion"/>
  </si>
  <si>
    <t>외부에서 로그 정보의 접근은 인가자만 가능해야 하며, 외부 전송을 할경우 기밀성이 보호되어야 한다.</t>
    <phoneticPr fontId="1" type="noConversion"/>
  </si>
  <si>
    <t>SYS-RID-FW-36</t>
    <phoneticPr fontId="1" type="noConversion"/>
  </si>
  <si>
    <t>설정파일의 무결성이 확인되지 않으면, 설정파일을 공장초기화 한다.</t>
    <phoneticPr fontId="1" type="noConversion"/>
  </si>
  <si>
    <t>SYS-RID-FW-38</t>
    <phoneticPr fontId="1" type="noConversion"/>
  </si>
  <si>
    <t>주의부족, 기억력 감퇴</t>
    <phoneticPr fontId="1" type="noConversion"/>
  </si>
  <si>
    <t>배터리 저전압을 주기적으로 반복하여 자극 출력과 LED로 알린다.</t>
    <phoneticPr fontId="1" type="noConversion"/>
  </si>
  <si>
    <t>SYS-RID-FW-48</t>
    <phoneticPr fontId="1" type="noConversion"/>
  </si>
  <si>
    <t>자극 볼륨은 단계적으로 증가하도록 설계한다.(soft increase)</t>
    <phoneticPr fontId="1" type="noConversion"/>
  </si>
  <si>
    <t>SYS-RID-FW-47</t>
    <phoneticPr fontId="1" type="noConversion"/>
  </si>
  <si>
    <t>NA</t>
    <phoneticPr fontId="1" type="noConversion"/>
  </si>
  <si>
    <t>필수 성능 시험을 진행한다.</t>
    <phoneticPr fontId="1" type="noConversion"/>
  </si>
  <si>
    <t>SYS-RID-FW-39, SYS-RID-FW-40</t>
    <phoneticPr fontId="1" type="noConversion"/>
  </si>
  <si>
    <t>실시간 신호처리가 가능하도록 설계한다.</t>
    <phoneticPr fontId="1" type="noConversion"/>
  </si>
  <si>
    <t>SYS-RID-FW-41</t>
    <phoneticPr fontId="1" type="noConversion"/>
  </si>
  <si>
    <t>제어 명령이 프로토콜에 맞게 전송되어야 실행한다.</t>
    <phoneticPr fontId="1" type="noConversion"/>
  </si>
  <si>
    <t>SYS-RID-FW-28</t>
    <phoneticPr fontId="1" type="noConversion"/>
  </si>
  <si>
    <t>CRC 기능이 있는 통신 프로토콜을 사용한다.</t>
    <phoneticPr fontId="1" type="noConversion"/>
  </si>
  <si>
    <t>SYS-RID-FW-42</t>
    <phoneticPr fontId="1" type="noConversion"/>
  </si>
  <si>
    <t>정상사용을 위한 준비상태를 표시하도록 설계한다.</t>
    <phoneticPr fontId="1" type="noConversion"/>
  </si>
  <si>
    <t>SYS-RID-FW-43</t>
    <phoneticPr fontId="1" type="noConversion"/>
  </si>
  <si>
    <t>전원커넥터가 연결되면 연결을 확인할 수 있어야한다.(충전모드 표시).</t>
    <phoneticPr fontId="1" type="noConversion"/>
  </si>
  <si>
    <t>SYS-RID-FW-44</t>
    <phoneticPr fontId="1" type="noConversion"/>
  </si>
  <si>
    <t>배터리 잔량을 표시할 수 있어야 한다.</t>
    <phoneticPr fontId="1" type="noConversion"/>
  </si>
  <si>
    <t>구분이 쉽도록 LED 패턴을 생성한다.</t>
    <phoneticPr fontId="1" type="noConversion"/>
  </si>
  <si>
    <t>SYS-RID-FW-45</t>
    <phoneticPr fontId="1" type="noConversion"/>
  </si>
  <si>
    <t>사회 통념적으로 사용되는 색상을 사용하여 인공와우 외부기 상태를 표시한다.</t>
    <phoneticPr fontId="1" type="noConversion"/>
  </si>
  <si>
    <t>SYS-RID-FW-46</t>
    <phoneticPr fontId="1" type="noConversion"/>
  </si>
  <si>
    <t>BLE 통신 연결 장애 발생 시, 정상 동작이 되어야 한다.</t>
    <phoneticPr fontId="1" type="noConversion"/>
  </si>
  <si>
    <t>SYS-RID-FW-37</t>
    <phoneticPr fontId="1" type="noConversion"/>
  </si>
  <si>
    <t>시동과정에서는 출력을 생성하지 않게 한다</t>
    <phoneticPr fontId="1" type="noConversion"/>
  </si>
  <si>
    <t>SYS-RID-FW-49</t>
    <phoneticPr fontId="1" type="noConversion"/>
  </si>
  <si>
    <t>종료과정에서는 출력을 생성하지 않게 한다.</t>
    <phoneticPr fontId="1" type="noConversion"/>
  </si>
  <si>
    <t>SYS-RID-FW-50</t>
    <phoneticPr fontId="1" type="noConversion"/>
  </si>
  <si>
    <t>전채널 동시에 자극률은 20kHz이상이어야 한다.(32채널 사용)</t>
    <phoneticPr fontId="1" type="noConversion"/>
  </si>
  <si>
    <t>[-]</t>
  </si>
  <si>
    <t>[+]</t>
  </si>
  <si>
    <t>채널별 최대 자극률은 1000Hz 이상이어야 한다.(24채널 사용)</t>
    <phoneticPr fontId="1" type="noConversion"/>
  </si>
  <si>
    <t>자극 펄스 폭은 13~255usec 범위에서 1usec 단위로 조정이 가능해야한다.</t>
    <phoneticPr fontId="1" type="noConversion"/>
  </si>
  <si>
    <t/>
  </si>
  <si>
    <t>SYS-RID-FW:7</t>
    <phoneticPr fontId="1" type="noConversion"/>
  </si>
  <si>
    <t>SYS-RID-FW:8</t>
    <phoneticPr fontId="1" type="noConversion"/>
  </si>
  <si>
    <t>SYS-RID-FW:9</t>
    <phoneticPr fontId="1" type="noConversion"/>
  </si>
  <si>
    <t>필수 : CIS, 옵션 : N-of-M</t>
    <phoneticPr fontId="1" type="noConversion"/>
  </si>
  <si>
    <t>SYS-RID-FW:10</t>
    <phoneticPr fontId="1" type="noConversion"/>
  </si>
  <si>
    <t>1msec</t>
    <phoneticPr fontId="1" type="noConversion"/>
  </si>
  <si>
    <t>SYS-RID-FW:11</t>
    <phoneticPr fontId="1" type="noConversion"/>
  </si>
  <si>
    <t>SYS-RID-FW:12</t>
    <phoneticPr fontId="1" type="noConversion"/>
  </si>
  <si>
    <t>SYS-RID-FW:13</t>
    <phoneticPr fontId="1" type="noConversion"/>
  </si>
  <si>
    <t>2개 이상의 오디오 소스를 입력 받을 수 있어야 한다.</t>
    <phoneticPr fontId="1" type="noConversion"/>
  </si>
  <si>
    <t>8kHz 오디오 신호를 입력 받을 수 있어야 한다.</t>
    <phoneticPr fontId="1" type="noConversion"/>
  </si>
  <si>
    <t>가속도 센서를 출력을 입력받아 전원 모드를 변경한다.</t>
    <phoneticPr fontId="1" type="noConversion"/>
  </si>
  <si>
    <t>I2C를 프로토콜을 사용하여 가속도 센서와 데이터 송/수신이 가능해야한다.</t>
    <phoneticPr fontId="1" type="noConversion"/>
  </si>
  <si>
    <t>SYS-RID-FW:14</t>
    <phoneticPr fontId="1" type="noConversion"/>
  </si>
  <si>
    <t>SYS-RID-FW:15</t>
    <phoneticPr fontId="1" type="noConversion"/>
  </si>
  <si>
    <t>등록된 내부이식장치와만 근접 무선 통신을 연결한다.</t>
    <phoneticPr fontId="1" type="noConversion"/>
  </si>
  <si>
    <t>SYS-RID-FW:16</t>
    <phoneticPr fontId="1" type="noConversion"/>
  </si>
  <si>
    <t>내부기와 연결된 상태에서만 블루투스 통신을 활성화한다.(광고시간 축소)</t>
    <phoneticPr fontId="1" type="noConversion"/>
  </si>
  <si>
    <t>SYS-RID-FW:17</t>
    <phoneticPr fontId="1" type="noConversion"/>
  </si>
  <si>
    <t>블투투스 통신에 페어링 기능을 적용하여 기기의 접근 통제 및 인증</t>
    <phoneticPr fontId="1" type="noConversion"/>
  </si>
  <si>
    <t>SYS-RID-FW:18</t>
    <phoneticPr fontId="1" type="noConversion"/>
  </si>
  <si>
    <t>블투투스 통신에 페어링 기능을 적용하여 통신 데이터 보안 구축(bluettoth 4.2 AES-128)</t>
    <phoneticPr fontId="1" type="noConversion"/>
  </si>
  <si>
    <t>SYS-RID-FW:19</t>
    <phoneticPr fontId="1" type="noConversion"/>
  </si>
  <si>
    <t>통신과 관련된 시스템 로그를 저장한다.</t>
    <phoneticPr fontId="1" type="noConversion"/>
  </si>
  <si>
    <t>SYS-RID-FW:20</t>
    <phoneticPr fontId="1" type="noConversion"/>
  </si>
  <si>
    <t>펌웨어 실행 시, 설정 데이터가 유효 범위를 벗어 날 경우 에러 모드 진입</t>
    <phoneticPr fontId="1" type="noConversion"/>
  </si>
  <si>
    <t>SYS-RID-FW:21</t>
    <phoneticPr fontId="1" type="noConversion"/>
  </si>
  <si>
    <t>내부기 제어 passkey가 매칭되어야 리모콘 제어 패스 활성화</t>
    <phoneticPr fontId="1" type="noConversion"/>
  </si>
  <si>
    <t>SYS-RID-FW:22</t>
    <phoneticPr fontId="1" type="noConversion"/>
  </si>
  <si>
    <t>소프트웨어 유지보수 절차를 따른다.</t>
    <phoneticPr fontId="1" type="noConversion"/>
  </si>
  <si>
    <t>SYS-RID-FW:23</t>
    <phoneticPr fontId="1" type="noConversion"/>
  </si>
  <si>
    <t>배포버전의 CM3 실행코드 사이즈를 18430 words 이하로 한다.</t>
    <phoneticPr fontId="1" type="noConversion"/>
  </si>
  <si>
    <t>SYS-RID-FW:24</t>
    <phoneticPr fontId="1" type="noConversion"/>
  </si>
  <si>
    <t>배터리 저전압을 주기적으로 반복하여 자극출력으로 알린다.</t>
    <phoneticPr fontId="1" type="noConversion"/>
  </si>
  <si>
    <t>SYS-RID-FW:32</t>
    <phoneticPr fontId="1" type="noConversion"/>
  </si>
  <si>
    <t>볼륨 증가를 단계적으로 진행되로록 설계한다.(soft increase)</t>
    <phoneticPr fontId="1" type="noConversion"/>
  </si>
  <si>
    <t>SYS-RID-FW:31</t>
    <phoneticPr fontId="1" type="noConversion"/>
  </si>
  <si>
    <t>SYS-RID-FW:25</t>
    <phoneticPr fontId="1" type="noConversion"/>
  </si>
  <si>
    <t>SYS-RID-FW:26</t>
    <phoneticPr fontId="1" type="noConversion"/>
  </si>
  <si>
    <t>SYS-RID-FW:27</t>
    <phoneticPr fontId="1" type="noConversion"/>
  </si>
  <si>
    <t>SYS-RID-FW:28</t>
    <phoneticPr fontId="1" type="noConversion"/>
  </si>
  <si>
    <t>SYS-RID-FW:29</t>
    <phoneticPr fontId="1" type="noConversion"/>
  </si>
  <si>
    <t>SYS-RID-FW:30</t>
    <phoneticPr fontId="1" type="noConversion"/>
  </si>
  <si>
    <t>SYS-RID-FW:34</t>
    <phoneticPr fontId="1" type="noConversion"/>
  </si>
  <si>
    <t>SYS-RID-FW:35</t>
    <phoneticPr fontId="1" type="noConversion"/>
  </si>
  <si>
    <t>이어피스가 연결되면 이어피스 연결 상태가 확인되어야 한다.</t>
    <phoneticPr fontId="1" type="noConversion"/>
  </si>
  <si>
    <t>SYS-RID-FW:36</t>
    <phoneticPr fontId="1" type="noConversion"/>
  </si>
  <si>
    <t>SYS-RID-FW:37</t>
    <phoneticPr fontId="1" type="noConversion"/>
  </si>
  <si>
    <t>SYS-RID-FW:38</t>
    <phoneticPr fontId="1" type="noConversion"/>
  </si>
  <si>
    <t>[E8300/QCC 각각 확인, 향후 I2S] 2개 이상의 오디오 소스를 입력 받을 수 있어야 한다.</t>
    <phoneticPr fontId="1" type="noConversion"/>
  </si>
  <si>
    <t>I2C 프로토콜을 사용하여 터치 센서와 데이터를 송수신할 수 있어야 한다.</t>
    <phoneticPr fontId="1" type="noConversion"/>
  </si>
  <si>
    <t>[E8300/QCC 연계] 리모콘 앱이 실행되는 스마트폰과 블루투스를 사용하여 데이터 통신이 가능해야한다.</t>
    <phoneticPr fontId="1" type="noConversion"/>
  </si>
  <si>
    <t>[E8300/QCC 연계] 매핑 프로그램이 실행되는 기기와 블루투스를 사용하여 데이터 통신이 가능해야 한다.</t>
    <phoneticPr fontId="1" type="noConversion"/>
  </si>
  <si>
    <t>[E8300/QCC 연계] Bluetooth Classic 오디오 통신</t>
    <phoneticPr fontId="1" type="noConversion"/>
  </si>
  <si>
    <t>[E8300/QCC 연계] BLE data 통신</t>
    <phoneticPr fontId="1" type="noConversion"/>
  </si>
  <si>
    <t>[QCC 단독] 일정시간 동안 제어 명령이 수신되지 않으면, BLE 연결을 해제한다.</t>
    <phoneticPr fontId="1" type="noConversion"/>
  </si>
  <si>
    <t>[QCC 단독] 1. BLE Pairing 기능을  사용하여 인가된 장치와 연결
2. BLE 연결 후 별도의 자체 인증 방식, CRA(Challenge-Response Authentication),을 사용하여 적법한 장치를 확인</t>
    <phoneticPr fontId="1" type="noConversion"/>
  </si>
  <si>
    <t>[QCC 단독] BLE 페어링이 완료된 상태에서 데이터를 송/수신한다. - 무결성
AES-CCM (Counter with CBC-MAC)을 사용함으로써 기밀성, 무결성, 인증  세 가지의 기능이 제공됨
(Bluetooth Core specification LE Link Layer 참조)</t>
    <phoneticPr fontId="1" type="noConversion"/>
  </si>
  <si>
    <t>[QCC 단독] 1. CRA 인증에서 기기제어를 위한 통신과 매핑을 의한 통신을 구분하여 별도의  인증 키와 인증방식을 사용
2. CRA 인증에 사용되는 각 키의 크기는 16 bytes (128 bits)이므로 충분히 안전한 보안을 제공한다.</t>
    <phoneticPr fontId="1" type="noConversion"/>
  </si>
  <si>
    <t>소프트웨어 업데이트가 필요할 경우 기존 제품을 회수하고 업데이트된 제품을 생산하여 교체한다.</t>
    <phoneticPr fontId="1" type="noConversion"/>
  </si>
  <si>
    <t>SYS-RID-FW-30</t>
    <phoneticPr fontId="1" type="noConversion"/>
  </si>
  <si>
    <t>품질관리시스템 절차에 따라, 인가된 인원이 펌웨어를 생성하여 배포한다.</t>
    <phoneticPr fontId="1" type="noConversion"/>
  </si>
  <si>
    <t>SYS-RID-FW-31</t>
    <phoneticPr fontId="1" type="noConversion"/>
  </si>
  <si>
    <t>[QCC 단독] - CRA 인증 결과에서 인증정보를 유추할 만한 피드백이 없음: 성공, 실패, 진행중, 타임아웃</t>
    <phoneticPr fontId="1" type="noConversion"/>
  </si>
  <si>
    <t>[QCC 단독] CRA 인증 5회 연속 실패 시, 일정 시간동안 연결을 제한한다.</t>
    <phoneticPr fontId="1" type="noConversion"/>
  </si>
  <si>
    <t>[QCC 단독] 1. 데이터의 송수신은 BLE 페어링과 CRA 인증 이후에 활성화 함. - 기밀화
2. CRA 인증 키들은 생산시에 암호화하여 저장한다.</t>
    <phoneticPr fontId="1" type="noConversion"/>
  </si>
  <si>
    <t>[-] 원문 / [+] 수정문 / 표시 없음: 유지. 식별자 구분자만 변경된 경우는 표시하지 않음.</t>
  </si>
  <si>
    <t>SW-FW-RID-81</t>
  </si>
  <si>
    <t>SYS-RID-FW:33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</si>
</sst>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F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7" fillId="0" borderId="0"/>
    <xf numFmtId="0" fontId="17" fillId="0" borderId="0"/>
  </cellStyleXfs>
  <cellXfs count="18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left" vertical="center" wrapText="1"/>
    </xf>
    <xf numFmtId="49" fontId="7" fillId="6" borderId="1" xfId="0" quotePrefix="1" applyNumberFormat="1" applyFont="1" applyFill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0" xfId="0" quotePrefix="1" applyFont="1" applyAlignment="1">
      <alignment horizontal="center" vertical="center" wrapText="1"/>
    </xf>
    <xf numFmtId="0" fontId="7" fillId="6" borderId="1" xfId="0" quotePrefix="1" applyFont="1" applyFill="1" applyBorder="1" applyAlignment="1">
      <alignment horizontal="left" vertical="center" wrapText="1"/>
    </xf>
    <xf numFmtId="0" fontId="9" fillId="6" borderId="1" xfId="0" quotePrefix="1" applyFont="1" applyFill="1" applyBorder="1" applyAlignment="1">
      <alignment horizontal="left" vertical="center" wrapText="1"/>
    </xf>
    <xf numFmtId="0" fontId="13" fillId="0" borderId="22" xfId="0" quotePrefix="1" applyFont="1" applyBorder="1" applyAlignment="1">
      <alignment horizontal="left" vertical="center" wrapText="1"/>
    </xf>
    <xf numFmtId="0" fontId="6" fillId="0" borderId="0" xfId="0" quotePrefix="1" applyFont="1" applyAlignment="1">
      <alignment horizontal="center"/>
    </xf>
    <xf numFmtId="0" fontId="6" fillId="10" borderId="0" xfId="0" quotePrefix="1" applyFont="1" applyFill="1" applyAlignment="1">
      <alignment horizontal="center"/>
    </xf>
    <xf numFmtId="0" fontId="8" fillId="10" borderId="1" xfId="0" quotePrefix="1" applyFont="1" applyFill="1" applyBorder="1" applyAlignment="1">
      <alignment horizontal="left" vertical="center" wrapText="1"/>
    </xf>
    <xf numFmtId="0" fontId="4" fillId="10" borderId="1" xfId="0" quotePrefix="1" applyFont="1" applyFill="1" applyBorder="1" applyAlignment="1">
      <alignment horizontal="center" vertical="center" wrapText="1"/>
    </xf>
    <xf numFmtId="0" fontId="6" fillId="7" borderId="0" xfId="0" quotePrefix="1" applyFont="1" applyFill="1" applyAlignment="1">
      <alignment horizontal="center"/>
    </xf>
    <xf numFmtId="0" fontId="8" fillId="7" borderId="1" xfId="0" quotePrefix="1" applyFont="1" applyFill="1" applyBorder="1" applyAlignment="1">
      <alignment horizontal="left" vertical="center" wrapText="1"/>
    </xf>
    <xf numFmtId="0" fontId="4" fillId="7" borderId="1" xfId="0" quotePrefix="1" applyFont="1" applyFill="1" applyBorder="1" applyAlignment="1">
      <alignment horizontal="center" vertical="center" wrapText="1"/>
    </xf>
    <xf numFmtId="49" fontId="4" fillId="10" borderId="1" xfId="0" quotePrefix="1" applyNumberFormat="1" applyFont="1" applyFill="1" applyBorder="1" applyAlignment="1">
      <alignment horizontal="center" vertical="center" wrapText="1"/>
    </xf>
    <xf numFmtId="49" fontId="4" fillId="7" borderId="1" xfId="0" quotePrefix="1" applyNumberFormat="1" applyFont="1" applyFill="1" applyBorder="1" applyAlignment="1">
      <alignment horizontal="center" vertical="center" wrapText="1"/>
    </xf>
    <xf numFmtId="0" fontId="4" fillId="7" borderId="1" xfId="0" quotePrefix="1" applyFont="1" applyFill="1" applyBorder="1" applyAlignment="1">
      <alignment horizontal="left" vertical="center" wrapText="1"/>
    </xf>
    <xf numFmtId="0" fontId="4" fillId="10" borderId="0" xfId="0" quotePrefix="1" applyFont="1" applyFill="1" applyAlignment="1">
      <alignment horizontal="center" vertical="center" wrapText="1"/>
    </xf>
    <xf numFmtId="0" fontId="4" fillId="7" borderId="0" xfId="0" quotePrefix="1" applyFont="1" applyFill="1" applyAlignment="1">
      <alignment horizontal="center" vertical="center" wrapText="1"/>
    </xf>
    <xf numFmtId="0" fontId="4" fillId="10" borderId="1" xfId="0" quotePrefix="1" applyFont="1" applyFill="1" applyBorder="1" applyAlignment="1">
      <alignment horizontal="left" vertical="center" wrapText="1"/>
    </xf>
    <xf numFmtId="0" fontId="13" fillId="10" borderId="22" xfId="0" quotePrefix="1" applyFont="1" applyFill="1" applyBorder="1" applyAlignment="1">
      <alignment horizontal="left" vertical="center" wrapText="1"/>
    </xf>
    <xf numFmtId="0" fontId="13" fillId="7" borderId="22" xfId="0" quotePrefix="1" applyFont="1" applyFill="1" applyBorder="1" applyAlignment="1">
      <alignment horizontal="left" vertical="center" wrapText="1"/>
    </xf>
    <xf numFmtId="0" fontId="4" fillId="0" borderId="22" xfId="0" quotePrefix="1" applyFont="1" applyBorder="1" applyAlignment="1">
      <alignment horizontal="center" vertical="center" wrapText="1"/>
    </xf>
    <xf numFmtId="0" fontId="4" fillId="0" borderId="16" xfId="0" quotePrefix="1" applyFont="1" applyBorder="1" applyAlignment="1">
      <alignment horizontal="center" vertical="center" wrapText="1"/>
    </xf>
    <xf numFmtId="0" fontId="4" fillId="10" borderId="1" xfId="0" quotePrefix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49" fontId="4" fillId="11" borderId="22" xfId="0" quotePrefix="1" applyNumberFormat="1" applyFont="1" applyFill="1" applyBorder="1" applyAlignment="1">
      <alignment horizontal="center" vertical="center" wrapText="1"/>
    </xf>
    <xf numFmtId="49" fontId="4" fillId="11" borderId="23" xfId="0" quotePrefix="1" applyNumberFormat="1" applyFont="1" applyFill="1" applyBorder="1" applyAlignment="1">
      <alignment horizontal="center" vertical="center" wrapText="1"/>
    </xf>
    <xf numFmtId="49" fontId="4" fillId="11" borderId="16" xfId="0" quotePrefix="1" applyNumberFormat="1" applyFont="1" applyFill="1" applyBorder="1" applyAlignment="1">
      <alignment horizontal="center" vertical="center" wrapText="1"/>
    </xf>
    <xf numFmtId="49" fontId="7" fillId="11" borderId="22" xfId="0" quotePrefix="1" applyNumberFormat="1" applyFont="1" applyFill="1" applyBorder="1" applyAlignment="1">
      <alignment horizontal="left" vertical="center" wrapText="1"/>
    </xf>
    <xf numFmtId="49" fontId="7" fillId="11" borderId="23" xfId="0" quotePrefix="1" applyNumberFormat="1" applyFont="1" applyFill="1" applyBorder="1" applyAlignment="1">
      <alignment horizontal="left" vertical="center" wrapText="1"/>
    </xf>
    <xf numFmtId="49" fontId="7" fillId="11" borderId="16" xfId="0" quotePrefix="1" applyNumberFormat="1" applyFont="1" applyFill="1" applyBorder="1" applyAlignment="1">
      <alignment horizontal="left" vertical="center" wrapText="1"/>
    </xf>
    <xf numFmtId="0" fontId="4" fillId="11" borderId="10" xfId="0" quotePrefix="1" applyFont="1" applyFill="1" applyBorder="1" applyAlignment="1">
      <alignment horizontal="center" vertical="center" wrapText="1"/>
    </xf>
    <xf numFmtId="0" fontId="4" fillId="11" borderId="11" xfId="0" quotePrefix="1" applyFont="1" applyFill="1" applyBorder="1" applyAlignment="1">
      <alignment horizontal="center" vertical="center" wrapText="1"/>
    </xf>
    <xf numFmtId="0" fontId="4" fillId="11" borderId="12" xfId="0" quotePrefix="1" applyFont="1" applyFill="1" applyBorder="1" applyAlignment="1">
      <alignment horizontal="center" vertical="center" wrapText="1"/>
    </xf>
    <xf numFmtId="0" fontId="4" fillId="11" borderId="20" xfId="0" quotePrefix="1" applyFont="1" applyFill="1" applyBorder="1" applyAlignment="1">
      <alignment horizontal="center" vertical="center" wrapText="1"/>
    </xf>
    <xf numFmtId="0" fontId="4" fillId="11" borderId="0" xfId="0" quotePrefix="1" applyFont="1" applyFill="1" applyAlignment="1">
      <alignment horizontal="center" vertical="center" wrapText="1"/>
    </xf>
    <xf numFmtId="0" fontId="4" fillId="11" borderId="21" xfId="0" quotePrefix="1" applyFont="1" applyFill="1" applyBorder="1" applyAlignment="1">
      <alignment horizontal="center" vertical="center" wrapText="1"/>
    </xf>
    <xf numFmtId="0" fontId="4" fillId="11" borderId="13" xfId="0" quotePrefix="1" applyFont="1" applyFill="1" applyBorder="1" applyAlignment="1">
      <alignment horizontal="center" vertical="center" wrapText="1"/>
    </xf>
    <xf numFmtId="0" fontId="4" fillId="11" borderId="14" xfId="0" quotePrefix="1" applyFont="1" applyFill="1" applyBorder="1" applyAlignment="1">
      <alignment horizontal="center" vertical="center" wrapText="1"/>
    </xf>
    <xf numFmtId="0" fontId="4" fillId="11" borderId="15" xfId="0" quotePrefix="1" applyFont="1" applyFill="1" applyBorder="1" applyAlignment="1">
      <alignment horizontal="center" vertical="center" wrapText="1"/>
    </xf>
    <xf numFmtId="0" fontId="4" fillId="0" borderId="17" xfId="0" quotePrefix="1" applyFont="1" applyBorder="1" applyAlignment="1">
      <alignment horizontal="center" vertical="center"/>
    </xf>
    <xf numFmtId="0" fontId="4" fillId="0" borderId="18" xfId="0" quotePrefix="1" applyFont="1" applyBorder="1" applyAlignment="1">
      <alignment horizontal="center" vertical="center"/>
    </xf>
    <xf numFmtId="0" fontId="4" fillId="0" borderId="19" xfId="0" quotePrefix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 wrapText="1"/>
    </xf>
    <xf numFmtId="49" fontId="4" fillId="0" borderId="19" xfId="0" quotePrefix="1" applyNumberFormat="1" applyFont="1" applyBorder="1" applyAlignment="1">
      <alignment horizontal="center" vertical="center" wrapText="1"/>
    </xf>
    <xf numFmtId="0" fontId="4" fillId="10" borderId="17" xfId="0" quotePrefix="1" applyFont="1" applyFill="1" applyBorder="1" applyAlignment="1">
      <alignment horizontal="center" vertical="center" wrapText="1"/>
    </xf>
    <xf numFmtId="0" fontId="4" fillId="10" borderId="18" xfId="0" quotePrefix="1" applyFont="1" applyFill="1" applyBorder="1" applyAlignment="1">
      <alignment horizontal="center" vertical="center" wrapText="1"/>
    </xf>
    <xf numFmtId="0" fontId="4" fillId="10" borderId="19" xfId="0" quotePrefix="1" applyFont="1" applyFill="1" applyBorder="1" applyAlignment="1">
      <alignment horizontal="center" vertical="center" wrapText="1"/>
    </xf>
    <xf numFmtId="0" fontId="4" fillId="7" borderId="17" xfId="0" quotePrefix="1" applyFont="1" applyFill="1" applyBorder="1" applyAlignment="1">
      <alignment horizontal="center" vertical="center" wrapText="1"/>
    </xf>
    <xf numFmtId="0" fontId="4" fillId="7" borderId="18" xfId="0" quotePrefix="1" applyFont="1" applyFill="1" applyBorder="1" applyAlignment="1">
      <alignment horizontal="center" vertical="center" wrapText="1"/>
    </xf>
    <xf numFmtId="0" fontId="4" fillId="7" borderId="19" xfId="0" quotePrefix="1" applyFont="1" applyFill="1" applyBorder="1" applyAlignment="1">
      <alignment horizontal="center" vertical="center" wrapText="1"/>
    </xf>
    <xf numFmtId="0" fontId="4" fillId="0" borderId="17" xfId="0" quotePrefix="1" applyFont="1" applyBorder="1" applyAlignment="1">
      <alignment horizontal="center" vertical="center" wrapText="1"/>
    </xf>
    <xf numFmtId="0" fontId="4" fillId="0" borderId="18" xfId="0" quotePrefix="1" applyFont="1" applyBorder="1" applyAlignment="1">
      <alignment horizontal="center" vertical="center" wrapText="1"/>
    </xf>
    <xf numFmtId="0" fontId="4" fillId="0" borderId="19" xfId="0" quotePrefix="1" applyFont="1" applyBorder="1" applyAlignment="1">
      <alignment horizontal="center" vertical="center" wrapText="1"/>
    </xf>
    <xf numFmtId="49" fontId="4" fillId="11" borderId="10" xfId="0" quotePrefix="1" applyNumberFormat="1" applyFont="1" applyFill="1" applyBorder="1" applyAlignment="1">
      <alignment horizontal="center" vertical="center" wrapText="1"/>
    </xf>
    <xf numFmtId="49" fontId="4" fillId="11" borderId="12" xfId="0" quotePrefix="1" applyNumberFormat="1" applyFont="1" applyFill="1" applyBorder="1" applyAlignment="1">
      <alignment horizontal="center" vertical="center" wrapText="1"/>
    </xf>
    <xf numFmtId="49" fontId="4" fillId="11" borderId="20" xfId="0" quotePrefix="1" applyNumberFormat="1" applyFont="1" applyFill="1" applyBorder="1" applyAlignment="1">
      <alignment horizontal="center" vertical="center" wrapText="1"/>
    </xf>
    <xf numFmtId="49" fontId="4" fillId="11" borderId="21" xfId="0" quotePrefix="1" applyNumberFormat="1" applyFont="1" applyFill="1" applyBorder="1" applyAlignment="1">
      <alignment horizontal="center" vertical="center" wrapText="1"/>
    </xf>
    <xf numFmtId="49" fontId="4" fillId="11" borderId="13" xfId="0" quotePrefix="1" applyNumberFormat="1" applyFont="1" applyFill="1" applyBorder="1" applyAlignment="1">
      <alignment horizontal="center" vertical="center" wrapText="1"/>
    </xf>
    <xf numFmtId="49" fontId="4" fillId="11" borderId="15" xfId="0" quotePrefix="1" applyNumberFormat="1" applyFont="1" applyFill="1" applyBorder="1" applyAlignment="1">
      <alignment horizontal="center" vertical="center" wrapText="1"/>
    </xf>
    <xf numFmtId="49" fontId="4" fillId="11" borderId="11" xfId="0" quotePrefix="1" applyNumberFormat="1" applyFont="1" applyFill="1" applyBorder="1" applyAlignment="1">
      <alignment horizontal="center" vertical="center" wrapText="1"/>
    </xf>
    <xf numFmtId="49" fontId="4" fillId="11" borderId="0" xfId="0" quotePrefix="1" applyNumberFormat="1" applyFont="1" applyFill="1" applyAlignment="1">
      <alignment horizontal="center" vertical="center" wrapText="1"/>
    </xf>
    <xf numFmtId="49" fontId="4" fillId="11" borderId="14" xfId="0" quotePrefix="1" applyNumberFormat="1" applyFont="1" applyFill="1" applyBorder="1" applyAlignment="1">
      <alignment horizontal="center" vertical="center" wrapText="1"/>
    </xf>
    <xf numFmtId="49" fontId="4" fillId="7" borderId="17" xfId="0" quotePrefix="1" applyNumberFormat="1" applyFont="1" applyFill="1" applyBorder="1" applyAlignment="1">
      <alignment horizontal="center" vertical="center" wrapText="1"/>
    </xf>
    <xf numFmtId="49" fontId="4" fillId="7" borderId="19" xfId="0" quotePrefix="1" applyNumberFormat="1" applyFont="1" applyFill="1" applyBorder="1" applyAlignment="1">
      <alignment horizontal="center" vertical="center" wrapText="1"/>
    </xf>
    <xf numFmtId="49" fontId="4" fillId="10" borderId="17" xfId="0" quotePrefix="1" applyNumberFormat="1" applyFont="1" applyFill="1" applyBorder="1" applyAlignment="1">
      <alignment horizontal="center" vertical="center" wrapText="1"/>
    </xf>
    <xf numFmtId="49" fontId="4" fillId="10" borderId="18" xfId="0" quotePrefix="1" applyNumberFormat="1" applyFont="1" applyFill="1" applyBorder="1" applyAlignment="1">
      <alignment horizontal="center" vertical="center" wrapText="1"/>
    </xf>
    <xf numFmtId="49" fontId="4" fillId="10" borderId="19" xfId="0" quotePrefix="1" applyNumberFormat="1" applyFont="1" applyFill="1" applyBorder="1" applyAlignment="1">
      <alignment horizontal="center" vertical="center" wrapText="1"/>
    </xf>
    <xf numFmtId="49" fontId="4" fillId="7" borderId="18" xfId="0" quotePrefix="1" applyNumberFormat="1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1" borderId="20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 wrapText="1"/>
    </xf>
    <xf numFmtId="0" fontId="4" fillId="11" borderId="13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49" fontId="7" fillId="11" borderId="22" xfId="0" quotePrefix="1" applyNumberFormat="1" applyFont="1" applyFill="1" applyBorder="1" applyAlignment="1">
      <alignment horizontal="center" vertical="center" wrapText="1"/>
    </xf>
    <xf numFmtId="49" fontId="7" fillId="11" borderId="23" xfId="0" quotePrefix="1" applyNumberFormat="1" applyFont="1" applyFill="1" applyBorder="1" applyAlignment="1">
      <alignment horizontal="center" vertical="center" wrapText="1"/>
    </xf>
    <xf numFmtId="49" fontId="7" fillId="11" borderId="16" xfId="0" quotePrefix="1" applyNumberFormat="1" applyFont="1" applyFill="1" applyBorder="1" applyAlignment="1">
      <alignment horizontal="center" vertical="center" wrapText="1"/>
    </xf>
    <xf numFmtId="0" fontId="7" fillId="11" borderId="22" xfId="0" quotePrefix="1" applyFont="1" applyFill="1" applyBorder="1" applyAlignment="1">
      <alignment horizontal="left" vertical="center" wrapText="1"/>
    </xf>
    <xf numFmtId="0" fontId="7" fillId="11" borderId="23" xfId="0" quotePrefix="1" applyFont="1" applyFill="1" applyBorder="1" applyAlignment="1">
      <alignment horizontal="left" vertical="center" wrapText="1"/>
    </xf>
    <xf numFmtId="0" fontId="7" fillId="11" borderId="16" xfId="0" quotePrefix="1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19" xfId="0" quotePrefix="1" applyNumberFormat="1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7" fillId="6" borderId="22" xfId="0" quotePrefix="1" applyNumberFormat="1" applyFont="1" applyFill="1" applyBorder="1" applyAlignment="1">
      <alignment horizontal="left" vertical="center" wrapText="1"/>
    </xf>
    <xf numFmtId="49" fontId="7" fillId="6" borderId="23" xfId="0" quotePrefix="1" applyNumberFormat="1" applyFont="1" applyFill="1" applyBorder="1" applyAlignment="1">
      <alignment horizontal="left" vertical="center" wrapText="1"/>
    </xf>
    <xf numFmtId="49" fontId="7" fillId="6" borderId="16" xfId="0" quotePrefix="1" applyNumberFormat="1" applyFont="1" applyFill="1" applyBorder="1" applyAlignment="1">
      <alignment horizontal="left" vertical="center" wrapText="1"/>
    </xf>
    <xf numFmtId="49" fontId="4" fillId="0" borderId="10" xfId="0" quotePrefix="1" applyNumberFormat="1" applyFont="1" applyBorder="1" applyAlignment="1">
      <alignment horizontal="center" vertical="center" wrapText="1"/>
    </xf>
    <xf numFmtId="49" fontId="4" fillId="0" borderId="11" xfId="0" quotePrefix="1" applyNumberFormat="1" applyFont="1" applyBorder="1" applyAlignment="1">
      <alignment horizontal="center" vertical="center" wrapText="1"/>
    </xf>
    <xf numFmtId="49" fontId="4" fillId="0" borderId="12" xfId="0" quotePrefix="1" applyNumberFormat="1" applyFont="1" applyBorder="1" applyAlignment="1">
      <alignment horizontal="center" vertical="center" wrapText="1"/>
    </xf>
    <xf numFmtId="49" fontId="4" fillId="0" borderId="20" xfId="0" quotePrefix="1" applyNumberFormat="1" applyFont="1" applyBorder="1" applyAlignment="1">
      <alignment horizontal="center" vertical="center" wrapText="1"/>
    </xf>
    <xf numFmtId="49" fontId="4" fillId="0" borderId="0" xfId="0" quotePrefix="1" applyNumberFormat="1" applyFont="1" applyAlignment="1">
      <alignment horizontal="center" vertical="center" wrapText="1"/>
    </xf>
    <xf numFmtId="49" fontId="4" fillId="0" borderId="21" xfId="0" quotePrefix="1" applyNumberFormat="1" applyFont="1" applyBorder="1" applyAlignment="1">
      <alignment horizontal="center" vertical="center" wrapText="1"/>
    </xf>
    <xf numFmtId="49" fontId="4" fillId="0" borderId="13" xfId="0" quotePrefix="1" applyNumberFormat="1" applyFont="1" applyBorder="1" applyAlignment="1">
      <alignment horizontal="center" vertical="center" wrapText="1"/>
    </xf>
    <xf numFmtId="49" fontId="4" fillId="0" borderId="14" xfId="0" quotePrefix="1" applyNumberFormat="1" applyFont="1" applyBorder="1" applyAlignment="1">
      <alignment horizontal="center" vertical="center" wrapText="1"/>
    </xf>
    <xf numFmtId="49" fontId="4" fillId="0" borderId="15" xfId="0" quotePrefix="1" applyNumberFormat="1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 wrapText="1"/>
    </xf>
    <xf numFmtId="0" fontId="4" fillId="0" borderId="14" xfId="0" quotePrefix="1" applyFont="1" applyBorder="1" applyAlignment="1">
      <alignment horizontal="center" vertical="center" wrapText="1"/>
    </xf>
    <xf numFmtId="0" fontId="4" fillId="0" borderId="15" xfId="0" quotePrefix="1" applyFont="1" applyBorder="1" applyAlignment="1">
      <alignment horizontal="center" vertical="center" wrapText="1"/>
    </xf>
    <xf numFmtId="49" fontId="4" fillId="0" borderId="18" xfId="0" quotePrefix="1" applyNumberFormat="1" applyFont="1" applyBorder="1" applyAlignment="1">
      <alignment horizontal="center" vertical="center" wrapText="1"/>
    </xf>
    <xf numFmtId="0" fontId="7" fillId="6" borderId="22" xfId="0" quotePrefix="1" applyFont="1" applyFill="1" applyBorder="1" applyAlignment="1">
      <alignment horizontal="left" vertical="center" wrapText="1"/>
    </xf>
    <xf numFmtId="0" fontId="7" fillId="6" borderId="23" xfId="0" quotePrefix="1" applyFont="1" applyFill="1" applyBorder="1" applyAlignment="1">
      <alignment horizontal="left" vertical="center" wrapText="1"/>
    </xf>
    <xf numFmtId="0" fontId="7" fillId="6" borderId="16" xfId="0" quotePrefix="1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 wrapText="1"/>
    </xf>
    <xf numFmtId="49" fontId="4" fillId="0" borderId="22" xfId="0" quotePrefix="1" applyNumberFormat="1" applyFont="1" applyBorder="1" applyAlignment="1">
      <alignment horizontal="center" vertical="center" wrapText="1"/>
    </xf>
    <xf numFmtId="49" fontId="4" fillId="0" borderId="16" xfId="0" quotePrefix="1" applyNumberFormat="1" applyFont="1" applyBorder="1" applyAlignment="1">
      <alignment horizontal="center" vertical="center" wrapText="1"/>
    </xf>
    <xf numFmtId="49" fontId="4" fillId="0" borderId="23" xfId="0" quotePrefix="1" applyNumberFormat="1" applyFont="1" applyBorder="1" applyAlignment="1">
      <alignment horizontal="center" vertical="center" wrapText="1"/>
    </xf>
    <xf numFmtId="0" fontId="4" fillId="0" borderId="22" xfId="0" quotePrefix="1" applyFont="1" applyBorder="1" applyAlignment="1">
      <alignment horizontal="center" vertical="center" wrapText="1"/>
    </xf>
    <xf numFmtId="0" fontId="4" fillId="0" borderId="16" xfId="0" quotePrefix="1" applyFont="1" applyBorder="1" applyAlignment="1">
      <alignment horizontal="center" vertical="center" wrapText="1"/>
    </xf>
    <xf numFmtId="49" fontId="7" fillId="6" borderId="22" xfId="0" quotePrefix="1" applyNumberFormat="1" applyFont="1" applyFill="1" applyBorder="1" applyAlignment="1">
      <alignment horizontal="center" vertical="center" wrapText="1"/>
    </xf>
    <xf numFmtId="49" fontId="7" fillId="6" borderId="23" xfId="0" quotePrefix="1" applyNumberFormat="1" applyFont="1" applyFill="1" applyBorder="1" applyAlignment="1">
      <alignment horizontal="center" vertical="center" wrapText="1"/>
    </xf>
    <xf numFmtId="49" fontId="7" fillId="6" borderId="16" xfId="0" quotePrefix="1" applyNumberFormat="1" applyFont="1" applyFill="1" applyBorder="1" applyAlignment="1">
      <alignment horizontal="center" vertical="center" wrapText="1"/>
    </xf>
  </cellXfs>
  <cellStyles count="3">
    <cellStyle name="Normal" xfId="1" xr:uid="{4D5820C0-423F-491D-A7B2-FEB9ED0A2168}"/>
    <cellStyle name="표준" xfId="0" builtinId="0"/>
    <cellStyle name="표준 2" xfId="2" xr:uid="{E93321A9-758A-4D2D-9F37-9CC53C481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7"/>
  <sheetViews>
    <sheetView workbookViewId="0">
      <selection activeCell="X18" sqref="X18"/>
    </sheetView>
  </sheetViews>
  <sheetFormatPr defaultColWidth="5.75" defaultRowHeight="16.5"/>
  <cols>
    <col min="1" max="1" width="1.125" style="1" customWidth="1"/>
    <col min="2" max="15" width="6.375" style="1" customWidth="1"/>
    <col min="16" max="16" width="4.625" style="1" customWidth="1"/>
    <col min="17" max="17" width="1.125" style="1" customWidth="1"/>
    <col min="18" max="42" width="5.75" style="1"/>
    <col min="43" max="43" width="7.875" style="1" bestFit="1" customWidth="1"/>
    <col min="44" max="16384" width="5.75" style="1"/>
  </cols>
  <sheetData>
    <row r="1" spans="2:30" ht="3" customHeight="1"/>
    <row r="2" spans="2:30">
      <c r="J2" s="126" t="s">
        <v>0</v>
      </c>
      <c r="K2" s="127"/>
      <c r="L2" s="128" t="s">
        <v>111</v>
      </c>
      <c r="M2" s="127"/>
      <c r="N2" s="127"/>
      <c r="O2" s="127"/>
      <c r="P2" s="13"/>
    </row>
    <row r="3" spans="2:30">
      <c r="J3" s="127" t="s">
        <v>1</v>
      </c>
      <c r="K3" s="127"/>
      <c r="L3" s="127" t="s">
        <v>106</v>
      </c>
      <c r="M3" s="127"/>
      <c r="N3" s="127"/>
      <c r="O3" s="127"/>
      <c r="P3" s="13"/>
    </row>
    <row r="4" spans="2:30" ht="17.25" thickBot="1"/>
    <row r="5" spans="2:30">
      <c r="B5" s="129" t="s">
        <v>112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1"/>
      <c r="Y5" s="120"/>
      <c r="Z5" s="121"/>
      <c r="AA5" s="121"/>
      <c r="AB5" s="121"/>
      <c r="AC5" s="121"/>
      <c r="AD5" s="121"/>
    </row>
    <row r="6" spans="2:30" ht="16.5" customHeight="1"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4"/>
      <c r="Y6" s="121"/>
      <c r="Z6" s="121"/>
      <c r="AA6" s="121"/>
      <c r="AB6" s="121"/>
      <c r="AC6" s="121"/>
      <c r="AD6" s="121"/>
    </row>
    <row r="7" spans="2:30" ht="16.5" customHeight="1">
      <c r="B7" s="132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4"/>
    </row>
    <row r="8" spans="2:30" ht="16.5" customHeight="1" thickBot="1">
      <c r="B8" s="135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7"/>
    </row>
    <row r="9" spans="2:30" ht="16.5" customHeight="1"/>
    <row r="10" spans="2:30" ht="17.25" customHeight="1"/>
    <row r="11" spans="2:30" ht="17.25">
      <c r="B11" s="119"/>
      <c r="C11" s="119"/>
      <c r="D11" s="122" t="s">
        <v>107</v>
      </c>
      <c r="E11" s="122"/>
      <c r="F11" s="122"/>
      <c r="G11" s="122"/>
      <c r="H11" s="122" t="s">
        <v>108</v>
      </c>
      <c r="I11" s="122"/>
      <c r="J11" s="122" t="s">
        <v>5</v>
      </c>
      <c r="K11" s="122"/>
      <c r="L11" s="122"/>
      <c r="M11" s="122" t="s">
        <v>109</v>
      </c>
      <c r="N11" s="122"/>
      <c r="O11" s="122"/>
    </row>
    <row r="12" spans="2:30">
      <c r="B12" s="119" t="s">
        <v>2</v>
      </c>
      <c r="C12" s="119"/>
      <c r="D12" s="117" t="s">
        <v>113</v>
      </c>
      <c r="E12" s="117"/>
      <c r="F12" s="117"/>
      <c r="G12" s="117"/>
      <c r="H12" s="117" t="s">
        <v>114</v>
      </c>
      <c r="I12" s="117"/>
      <c r="J12" s="117"/>
      <c r="K12" s="117"/>
      <c r="L12" s="117"/>
      <c r="M12" s="117"/>
      <c r="N12" s="117"/>
      <c r="O12" s="117"/>
    </row>
    <row r="13" spans="2:30">
      <c r="B13" s="119"/>
      <c r="C13" s="119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</row>
    <row r="14" spans="2:30">
      <c r="B14" s="119" t="s">
        <v>3</v>
      </c>
      <c r="C14" s="119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</row>
    <row r="15" spans="2:30">
      <c r="B15" s="119"/>
      <c r="C15" s="119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</row>
    <row r="16" spans="2:30" ht="17.100000000000001" customHeight="1">
      <c r="B16" s="119" t="s">
        <v>4</v>
      </c>
      <c r="C16" s="119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</row>
    <row r="17" spans="2:15" ht="16.5" customHeight="1">
      <c r="B17" s="119"/>
      <c r="C17" s="119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</row>
    <row r="19" spans="2:15">
      <c r="L19"/>
    </row>
    <row r="22" spans="2:15">
      <c r="B22" s="123" t="s">
        <v>6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5"/>
    </row>
    <row r="23" spans="2:15">
      <c r="B23" s="117" t="s">
        <v>7</v>
      </c>
      <c r="C23" s="117"/>
      <c r="D23" s="117" t="s">
        <v>8</v>
      </c>
      <c r="E23" s="117"/>
      <c r="F23" s="117" t="s">
        <v>9</v>
      </c>
      <c r="G23" s="117"/>
      <c r="H23" s="117"/>
      <c r="I23" s="117"/>
      <c r="J23" s="117"/>
      <c r="K23" s="117"/>
      <c r="L23" s="117"/>
      <c r="M23" s="117"/>
      <c r="N23" s="117"/>
      <c r="O23" s="117"/>
    </row>
    <row r="24" spans="2:15">
      <c r="B24" s="117">
        <v>0</v>
      </c>
      <c r="C24" s="117"/>
      <c r="D24" s="117"/>
      <c r="E24" s="117"/>
      <c r="F24" s="117" t="s">
        <v>110</v>
      </c>
      <c r="G24" s="117"/>
      <c r="H24" s="117"/>
      <c r="I24" s="117"/>
      <c r="J24" s="117"/>
      <c r="K24" s="117"/>
      <c r="L24" s="117"/>
      <c r="M24" s="117"/>
      <c r="N24" s="117"/>
      <c r="O24" s="117"/>
    </row>
    <row r="25" spans="2:15">
      <c r="B25" s="117"/>
      <c r="C25" s="117"/>
      <c r="D25" s="117"/>
      <c r="E25" s="117"/>
      <c r="F25" s="118"/>
      <c r="G25" s="117"/>
      <c r="H25" s="117"/>
      <c r="I25" s="117"/>
      <c r="J25" s="117"/>
      <c r="K25" s="117"/>
      <c r="L25" s="117"/>
      <c r="M25" s="117"/>
      <c r="N25" s="117"/>
      <c r="O25" s="117"/>
    </row>
    <row r="26" spans="2:15"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</row>
    <row r="27" spans="2:15"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</row>
    <row r="28" spans="2:15"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</row>
    <row r="29" spans="2:15"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</row>
    <row r="30" spans="2:15"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</row>
    <row r="31" spans="2:15"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</row>
    <row r="32" spans="2:15"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</row>
    <row r="33" spans="2:15"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</row>
    <row r="34" spans="2:15">
      <c r="B34" s="138"/>
      <c r="C34" s="139"/>
      <c r="D34" s="138"/>
      <c r="E34" s="139"/>
      <c r="F34" s="138"/>
      <c r="G34" s="140"/>
      <c r="H34" s="140"/>
      <c r="I34" s="140"/>
      <c r="J34" s="140"/>
      <c r="K34" s="140"/>
      <c r="L34" s="140"/>
      <c r="M34" s="140"/>
      <c r="N34" s="140"/>
      <c r="O34" s="139"/>
    </row>
    <row r="35" spans="2:15">
      <c r="B35" s="138"/>
      <c r="C35" s="139"/>
      <c r="D35" s="138"/>
      <c r="E35" s="139"/>
      <c r="F35" s="138"/>
      <c r="G35" s="140"/>
      <c r="H35" s="140"/>
      <c r="I35" s="140"/>
      <c r="J35" s="140"/>
      <c r="K35" s="140"/>
      <c r="L35" s="140"/>
      <c r="M35" s="140"/>
      <c r="N35" s="140"/>
      <c r="O35" s="139"/>
    </row>
    <row r="36" spans="2:15"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</row>
    <row r="37" spans="2:15"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</row>
  </sheetData>
  <mergeCells count="75">
    <mergeCell ref="B37:C37"/>
    <mergeCell ref="D37:E37"/>
    <mergeCell ref="F37:O37"/>
    <mergeCell ref="B35:C35"/>
    <mergeCell ref="D35:E35"/>
    <mergeCell ref="F35:O35"/>
    <mergeCell ref="B36:C36"/>
    <mergeCell ref="D36:E36"/>
    <mergeCell ref="F36:O36"/>
    <mergeCell ref="B33:C33"/>
    <mergeCell ref="D33:E33"/>
    <mergeCell ref="F33:O33"/>
    <mergeCell ref="B34:C34"/>
    <mergeCell ref="D34:E34"/>
    <mergeCell ref="F34:O34"/>
    <mergeCell ref="B31:C31"/>
    <mergeCell ref="D31:E31"/>
    <mergeCell ref="F31:O31"/>
    <mergeCell ref="B32:C32"/>
    <mergeCell ref="D32:E32"/>
    <mergeCell ref="F32:O32"/>
    <mergeCell ref="J2:K2"/>
    <mergeCell ref="L2:O2"/>
    <mergeCell ref="J3:K3"/>
    <mergeCell ref="L3:O3"/>
    <mergeCell ref="B5:O8"/>
    <mergeCell ref="B22:O22"/>
    <mergeCell ref="B23:C23"/>
    <mergeCell ref="D23:E23"/>
    <mergeCell ref="F23:O23"/>
    <mergeCell ref="B24:C24"/>
    <mergeCell ref="D24:E24"/>
    <mergeCell ref="F24:O24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12:C13"/>
    <mergeCell ref="D12:G13"/>
    <mergeCell ref="H12:I13"/>
    <mergeCell ref="J12:L13"/>
    <mergeCell ref="M12:O13"/>
    <mergeCell ref="B14:C15"/>
    <mergeCell ref="D14:G15"/>
    <mergeCell ref="H14:I15"/>
    <mergeCell ref="J14:L15"/>
    <mergeCell ref="M14:O15"/>
    <mergeCell ref="B16:C17"/>
    <mergeCell ref="D16:G17"/>
    <mergeCell ref="H16:I17"/>
    <mergeCell ref="J16:L17"/>
    <mergeCell ref="M16:O17"/>
    <mergeCell ref="B25:C25"/>
    <mergeCell ref="D25:E25"/>
    <mergeCell ref="F25:O25"/>
    <mergeCell ref="B28:C28"/>
    <mergeCell ref="D28:E28"/>
    <mergeCell ref="F28:O28"/>
    <mergeCell ref="B26:C26"/>
    <mergeCell ref="D26:E26"/>
    <mergeCell ref="F26:O26"/>
    <mergeCell ref="B27:C27"/>
    <mergeCell ref="D27:E27"/>
    <mergeCell ref="F27:O27"/>
    <mergeCell ref="B29:C29"/>
    <mergeCell ref="D29:E29"/>
    <mergeCell ref="F29:O29"/>
    <mergeCell ref="B30:C30"/>
    <mergeCell ref="D30:E30"/>
    <mergeCell ref="F30:O30"/>
  </mergeCells>
  <phoneticPr fontId="1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C19C-F1ED-4474-A430-47507ACD292F}">
  <sheetPr>
    <pageSetUpPr fitToPage="1"/>
  </sheetPr>
  <dimension ref="B3:I92"/>
  <sheetViews>
    <sheetView tabSelected="1" zoomScale="85" zoomScaleNormal="85" zoomScalePageLayoutView="85" workbookViewId="0">
      <selection activeCell="G8" sqref="G8"/>
    </sheetView>
  </sheetViews>
  <sheetFormatPr defaultColWidth="9" defaultRowHeight="16.5"/>
  <cols>
    <col min="1" max="1" width="1.5" style="1" customWidth="1"/>
    <col min="2" max="2" width="20.875" style="3" customWidth="1"/>
    <col min="3" max="3" width="15.875" style="1" customWidth="1"/>
    <col min="4" max="4" width="7.125" style="1" customWidth="1"/>
    <col min="5" max="5" width="10.5" style="1" customWidth="1"/>
    <col min="6" max="6" width="39.125" style="8" customWidth="1"/>
    <col min="7" max="7" width="13.25" style="1" customWidth="1"/>
    <col min="8" max="8" width="13.125" style="1" customWidth="1"/>
    <col min="9" max="9" width="9.375" style="2" customWidth="1"/>
    <col min="10" max="10" width="14.625" style="1" customWidth="1"/>
    <col min="11" max="16384" width="9" style="1"/>
  </cols>
  <sheetData>
    <row r="3" spans="2:9" ht="46.5" customHeight="1">
      <c r="B3" s="112" t="s">
        <v>78</v>
      </c>
      <c r="C3" s="112"/>
      <c r="D3" s="112"/>
      <c r="E3" s="112"/>
      <c r="F3" s="112"/>
      <c r="G3" s="112"/>
      <c r="H3" s="112"/>
      <c r="I3" s="112"/>
    </row>
    <row r="4" spans="2:9" ht="38.450000000000003" customHeight="1">
      <c r="B4" s="113" t="s">
        <v>48</v>
      </c>
      <c r="C4" s="114" t="s">
        <v>47</v>
      </c>
      <c r="D4" s="114"/>
      <c r="E4" s="114"/>
      <c r="F4" s="113" t="s">
        <v>24</v>
      </c>
      <c r="G4" s="114" t="s">
        <v>10</v>
      </c>
      <c r="H4" s="115" t="s">
        <v>70</v>
      </c>
      <c r="I4" s="116"/>
    </row>
    <row r="5" spans="2:9">
      <c r="B5" s="113"/>
      <c r="C5" s="114"/>
      <c r="D5" s="114"/>
      <c r="E5" s="114"/>
      <c r="F5" s="113"/>
      <c r="G5" s="114"/>
      <c r="H5" s="5" t="s">
        <v>71</v>
      </c>
      <c r="I5" s="5" t="s">
        <v>72</v>
      </c>
    </row>
    <row r="6" spans="2:9" ht="60" customHeight="1">
      <c r="B6" s="180" t="s">
        <v>101</v>
      </c>
      <c r="C6" s="175" t="s">
        <v>62</v>
      </c>
      <c r="D6" s="175" t="s">
        <v>11</v>
      </c>
      <c r="E6" s="15" t="s">
        <v>80</v>
      </c>
      <c r="F6" s="16" t="s">
        <v>271</v>
      </c>
      <c r="G6" s="17" t="str">
        <f>"SW-FW-RID-"&amp;1</f>
        <v>SW-FW-RID-1</v>
      </c>
      <c r="H6" s="178" t="s">
        <v>195</v>
      </c>
      <c r="I6" s="4"/>
    </row>
    <row r="7" spans="2:9" ht="39.950000000000003" customHeight="1">
      <c r="B7" s="181"/>
      <c r="C7" s="177"/>
      <c r="D7" s="176"/>
      <c r="E7" s="19" t="s">
        <v>69</v>
      </c>
      <c r="F7" s="16" t="s">
        <v>274</v>
      </c>
      <c r="G7" s="17" t="str">
        <f>"SW-FW-RID-"&amp;2</f>
        <v>SW-FW-RID-2</v>
      </c>
      <c r="H7" s="179"/>
      <c r="I7" s="4"/>
    </row>
    <row r="8" spans="2:9" ht="33.950000000000003" customHeight="1">
      <c r="B8" s="181"/>
      <c r="C8" s="177"/>
      <c r="D8" s="110" t="s">
        <v>12</v>
      </c>
      <c r="E8" s="111"/>
      <c r="F8" s="16" t="s">
        <v>82</v>
      </c>
      <c r="G8" s="17" t="str">
        <f>"SW-FW-RID-"&amp;3</f>
        <v>SW-FW-RID-3</v>
      </c>
      <c r="H8" s="18" t="s">
        <v>196</v>
      </c>
      <c r="I8" s="9"/>
    </row>
    <row r="9" spans="2:9" ht="47.1" customHeight="1">
      <c r="B9" s="181"/>
      <c r="C9" s="177"/>
      <c r="D9" s="110" t="s">
        <v>13</v>
      </c>
      <c r="E9" s="111"/>
      <c r="F9" s="16" t="s">
        <v>21</v>
      </c>
      <c r="G9" s="17" t="str">
        <f>"SW-FW-RID-"&amp;4</f>
        <v>SW-FW-RID-4</v>
      </c>
      <c r="H9" s="18" t="s">
        <v>197</v>
      </c>
      <c r="I9" s="4"/>
    </row>
    <row r="10" spans="2:9" ht="33.950000000000003" customHeight="1">
      <c r="B10" s="181"/>
      <c r="C10" s="177"/>
      <c r="D10" s="110" t="s">
        <v>14</v>
      </c>
      <c r="E10" s="111"/>
      <c r="F10" s="16" t="s">
        <v>83</v>
      </c>
      <c r="G10" s="17" t="str">
        <f>"SW-FW-RID-"&amp;5</f>
        <v>SW-FW-RID-5</v>
      </c>
      <c r="H10" s="18" t="s">
        <v>198</v>
      </c>
      <c r="I10" s="4"/>
    </row>
    <row r="11" spans="2:9" ht="47.1" customHeight="1">
      <c r="B11" s="181"/>
      <c r="C11" s="177"/>
      <c r="D11" s="110" t="s">
        <v>20</v>
      </c>
      <c r="E11" s="111"/>
      <c r="F11" s="16" t="s">
        <v>275</v>
      </c>
      <c r="G11" s="17" t="str">
        <f>"SW-FW-RID-"&amp;6</f>
        <v>SW-FW-RID-6</v>
      </c>
      <c r="H11" s="18" t="s">
        <v>199</v>
      </c>
      <c r="I11" s="4"/>
    </row>
    <row r="12" spans="2:9" ht="60" customHeight="1">
      <c r="B12" s="181"/>
      <c r="C12" s="176"/>
      <c r="D12" s="110" t="s">
        <v>44</v>
      </c>
      <c r="E12" s="111"/>
      <c r="F12" s="16" t="s">
        <v>59</v>
      </c>
      <c r="G12" s="17" t="str">
        <f>"SW-FW-RID-"&amp;7</f>
        <v>SW-FW-RID-7</v>
      </c>
      <c r="H12" s="4"/>
      <c r="I12" s="4"/>
    </row>
    <row r="13" spans="2:9" ht="47.1" customHeight="1">
      <c r="B13" s="181"/>
      <c r="C13" s="175" t="s">
        <v>63</v>
      </c>
      <c r="D13" s="14" t="s">
        <v>84</v>
      </c>
      <c r="E13" s="14" t="s">
        <v>79</v>
      </c>
      <c r="F13" s="16" t="s">
        <v>85</v>
      </c>
      <c r="G13" s="17" t="str">
        <f>"SW-FW-RID-"&amp;8</f>
        <v>SW-FW-RID-8</v>
      </c>
      <c r="H13" s="18" t="s">
        <v>200</v>
      </c>
      <c r="I13" s="4"/>
    </row>
    <row r="14" spans="2:9" ht="47.1" customHeight="1">
      <c r="B14" s="181"/>
      <c r="C14" s="177"/>
      <c r="D14" s="67" t="s">
        <v>60</v>
      </c>
      <c r="E14" s="68"/>
      <c r="F14" s="16" t="s">
        <v>64</v>
      </c>
      <c r="G14" s="17" t="str">
        <f>"SW-FW-RID-"&amp;9</f>
        <v>SW-FW-RID-9</v>
      </c>
      <c r="H14" s="18" t="s">
        <v>201</v>
      </c>
      <c r="I14" s="4"/>
    </row>
    <row r="15" spans="2:9" ht="47.1" customHeight="1">
      <c r="B15" s="181"/>
      <c r="C15" s="177"/>
      <c r="D15" s="67" t="s">
        <v>61</v>
      </c>
      <c r="E15" s="68"/>
      <c r="F15" s="16" t="s">
        <v>22</v>
      </c>
      <c r="G15" s="17" t="str">
        <f>"SW-FW-RID-"&amp;10</f>
        <v>SW-FW-RID-10</v>
      </c>
      <c r="H15" s="18" t="s">
        <v>202</v>
      </c>
      <c r="I15" s="4"/>
    </row>
    <row r="16" spans="2:9" ht="47.1" customHeight="1">
      <c r="B16" s="181"/>
      <c r="C16" s="177"/>
      <c r="D16" s="67" t="s">
        <v>45</v>
      </c>
      <c r="E16" s="68"/>
      <c r="F16" s="16" t="s">
        <v>280</v>
      </c>
      <c r="G16" s="17" t="str">
        <f>"SW-FW-RID-"&amp;11</f>
        <v>SW-FW-RID-11</v>
      </c>
      <c r="H16" s="18" t="s">
        <v>203</v>
      </c>
      <c r="I16" s="4"/>
    </row>
    <row r="17" spans="2:9" ht="47.1" customHeight="1">
      <c r="B17" s="181"/>
      <c r="C17" s="176"/>
      <c r="D17" s="67" t="s">
        <v>65</v>
      </c>
      <c r="E17" s="68"/>
      <c r="F17" s="16" t="inlineStr">
        <is>
          <t xml:space="preserve">사운드 처리 주기는 1.00ms이며 허용 오차는 +/-5%(0.95~1.05ms)이다.</t>
        </is>
      </c>
      <c r="G17" s="17" t="str">
        <f>"SW-FW-RID-"&amp;12</f>
        <v>SW-FW-RID-12</v>
      </c>
      <c r="H17" s="18" t="s">
        <v>205</v>
      </c>
      <c r="I17" s="4"/>
    </row>
    <row r="18" spans="2:9" ht="33.950000000000003" customHeight="1">
      <c r="B18" s="181"/>
      <c r="C18" s="175" t="s">
        <v>86</v>
      </c>
      <c r="D18" s="67" t="s">
        <v>87</v>
      </c>
      <c r="E18" s="68"/>
      <c r="F18" s="16" t="s">
        <v>88</v>
      </c>
      <c r="G18" s="17" t="str">
        <f>"SW-FW-RID-"&amp;13</f>
        <v>SW-FW-RID-13</v>
      </c>
      <c r="H18" s="18" t="s">
        <v>206</v>
      </c>
      <c r="I18" s="4"/>
    </row>
    <row r="19" spans="2:9" ht="47.1" customHeight="1">
      <c r="B19" s="182"/>
      <c r="C19" s="176"/>
      <c r="D19" s="67" t="s">
        <v>66</v>
      </c>
      <c r="E19" s="68"/>
      <c r="F19" s="16" t="s">
        <v>81</v>
      </c>
      <c r="G19" s="17" t="str">
        <f>"SW-FW-RID-"&amp;14</f>
        <v>SW-FW-RID-14</v>
      </c>
      <c r="H19" s="18" t="s">
        <v>207</v>
      </c>
      <c r="I19" s="4"/>
    </row>
    <row r="20" spans="2:9" ht="60" customHeight="1">
      <c r="B20" s="141" t="s">
        <v>67</v>
      </c>
      <c r="C20" s="175" t="s">
        <v>63</v>
      </c>
      <c r="D20" s="144" t="s">
        <v>16</v>
      </c>
      <c r="E20" s="146"/>
      <c r="F20" s="16" t="s">
        <v>326</v>
      </c>
      <c r="G20" s="17" t="str">
        <f>"SW-FW-RID-"&amp;15</f>
        <v>SW-FW-RID-15</v>
      </c>
      <c r="H20" s="4"/>
      <c r="I20" s="4"/>
    </row>
    <row r="21" spans="2:9" ht="39.950000000000003" customHeight="1">
      <c r="B21" s="142"/>
      <c r="C21" s="177"/>
      <c r="D21" s="150"/>
      <c r="E21" s="152"/>
      <c r="F21" s="16" t="s">
        <v>287</v>
      </c>
      <c r="G21" s="17" t="str">
        <f>"SW-FW-RID-"&amp;16</f>
        <v>SW-FW-RID-16</v>
      </c>
      <c r="H21" s="4"/>
      <c r="I21" s="4"/>
    </row>
    <row r="22" spans="2:9" ht="33.950000000000003" customHeight="1">
      <c r="B22" s="142"/>
      <c r="C22" s="177"/>
      <c r="D22" s="67" t="s">
        <v>17</v>
      </c>
      <c r="E22" s="68"/>
      <c r="F22" s="16" t="s">
        <v>23</v>
      </c>
      <c r="G22" s="17" t="str">
        <f>"SW-FW-RID-"&amp;17</f>
        <v>SW-FW-RID-17</v>
      </c>
      <c r="H22" s="4"/>
      <c r="I22" s="4"/>
    </row>
    <row r="23" spans="2:9" ht="33.950000000000003" customHeight="1">
      <c r="B23" s="142"/>
      <c r="C23" s="176"/>
      <c r="D23" s="67" t="s">
        <v>25</v>
      </c>
      <c r="E23" s="68"/>
      <c r="F23" s="16" t="s">
        <v>58</v>
      </c>
      <c r="G23" s="17" t="str">
        <f>"SW-FW-RID-"&amp;18</f>
        <v>SW-FW-RID-18</v>
      </c>
      <c r="H23" s="4"/>
      <c r="I23" s="4"/>
    </row>
    <row r="24" spans="2:9" ht="33.950000000000003" customHeight="1">
      <c r="B24" s="142"/>
      <c r="C24" s="175" t="s">
        <v>41</v>
      </c>
      <c r="D24" s="67" t="s">
        <v>15</v>
      </c>
      <c r="E24" s="68"/>
      <c r="F24" s="16" t="s">
        <v>208</v>
      </c>
      <c r="G24" s="17" t="str">
        <f>"SW-FW-RID-"&amp;19</f>
        <v>SW-FW-RID-19</v>
      </c>
      <c r="H24" s="4"/>
      <c r="I24" s="4"/>
    </row>
    <row r="25" spans="2:9" ht="21" customHeight="1">
      <c r="B25" s="142"/>
      <c r="C25" s="177"/>
      <c r="D25" s="175" t="s">
        <v>89</v>
      </c>
      <c r="E25" s="175" t="s">
        <v>75</v>
      </c>
      <c r="F25" s="16" t="s">
        <v>102</v>
      </c>
      <c r="G25" s="17" t="str">
        <f>"SW-FW-RID-"&amp;20</f>
        <v>SW-FW-RID-20</v>
      </c>
      <c r="H25" s="6"/>
      <c r="I25" s="4"/>
    </row>
    <row r="26" spans="2:9" ht="21" customHeight="1">
      <c r="B26" s="142"/>
      <c r="C26" s="177"/>
      <c r="D26" s="177"/>
      <c r="E26" s="177"/>
      <c r="F26" s="16" t="s">
        <v>103</v>
      </c>
      <c r="G26" s="17" t="str">
        <f>"SW-FW-RID-"&amp;21</f>
        <v>SW-FW-RID-21</v>
      </c>
      <c r="H26" s="4"/>
      <c r="I26" s="4"/>
    </row>
    <row r="27" spans="2:9" ht="21" customHeight="1">
      <c r="B27" s="142"/>
      <c r="C27" s="177"/>
      <c r="D27" s="177"/>
      <c r="E27" s="176"/>
      <c r="F27" s="16" t="s">
        <v>104</v>
      </c>
      <c r="G27" s="17" t="str">
        <f>"SW-FW-RID-"&amp;22</f>
        <v>SW-FW-RID-22</v>
      </c>
      <c r="H27" s="11"/>
      <c r="I27" s="4"/>
    </row>
    <row r="28" spans="2:9" ht="33.950000000000003" customHeight="1">
      <c r="B28" s="142"/>
      <c r="C28" s="176"/>
      <c r="D28" s="176"/>
      <c r="E28" s="14" t="s">
        <v>76</v>
      </c>
      <c r="F28" s="21" t="s">
        <v>105</v>
      </c>
      <c r="G28" s="17" t="str">
        <f>"SW-FW-RID-"&amp;23</f>
        <v>SW-FW-RID-23</v>
      </c>
      <c r="H28" s="12"/>
      <c r="I28" s="4"/>
    </row>
    <row r="29" spans="2:9" ht="33.950000000000003" customHeight="1">
      <c r="B29" s="142"/>
      <c r="C29" s="175" t="s">
        <v>43</v>
      </c>
      <c r="D29" s="144" t="s">
        <v>39</v>
      </c>
      <c r="E29" s="146"/>
      <c r="F29" s="16" t="s">
        <v>29</v>
      </c>
      <c r="G29" s="17" t="str">
        <f>"SW-FW-RID-"&amp;24</f>
        <v>SW-FW-RID-24</v>
      </c>
      <c r="H29" s="6"/>
      <c r="I29" s="6"/>
    </row>
    <row r="30" spans="2:9" ht="21" customHeight="1">
      <c r="B30" s="142"/>
      <c r="C30" s="177"/>
      <c r="D30" s="147"/>
      <c r="E30" s="149"/>
      <c r="F30" s="16" t="s">
        <v>30</v>
      </c>
      <c r="G30" s="17" t="str">
        <f>"SW-FW-RID-"&amp;25</f>
        <v>SW-FW-RID-25</v>
      </c>
      <c r="H30" s="6"/>
      <c r="I30" s="6"/>
    </row>
    <row r="31" spans="2:9" ht="21" customHeight="1">
      <c r="B31" s="142"/>
      <c r="C31" s="177"/>
      <c r="D31" s="147"/>
      <c r="E31" s="149"/>
      <c r="F31" s="16" t="s">
        <v>31</v>
      </c>
      <c r="G31" s="17" t="str">
        <f>"SW-FW-RID-"&amp;26</f>
        <v>SW-FW-RID-26</v>
      </c>
      <c r="H31" s="6"/>
      <c r="I31" s="6"/>
    </row>
    <row r="32" spans="2:9" ht="21" customHeight="1">
      <c r="B32" s="142"/>
      <c r="C32" s="177"/>
      <c r="D32" s="147"/>
      <c r="E32" s="149"/>
      <c r="F32" s="16" t="s">
        <v>33</v>
      </c>
      <c r="G32" s="17" t="str">
        <f>"SW-FW-RID-"&amp;27</f>
        <v>SW-FW-RID-27</v>
      </c>
      <c r="H32" s="6"/>
      <c r="I32" s="6"/>
    </row>
    <row r="33" spans="2:9" ht="21" customHeight="1">
      <c r="B33" s="142"/>
      <c r="C33" s="177"/>
      <c r="D33" s="150"/>
      <c r="E33" s="152"/>
      <c r="F33" s="16" t="s">
        <v>32</v>
      </c>
      <c r="G33" s="17" t="str">
        <f>"SW-FW-RID-"&amp;28</f>
        <v>SW-FW-RID-28</v>
      </c>
      <c r="H33" s="6"/>
      <c r="I33" s="6"/>
    </row>
    <row r="34" spans="2:9" ht="33.950000000000003" customHeight="1">
      <c r="B34" s="142"/>
      <c r="C34" s="177"/>
      <c r="D34" s="144" t="s">
        <v>40</v>
      </c>
      <c r="E34" s="146"/>
      <c r="F34" s="16" t="s">
        <v>34</v>
      </c>
      <c r="G34" s="17" t="str">
        <f>"SW-FW-RID-"&amp;29</f>
        <v>SW-FW-RID-29</v>
      </c>
      <c r="H34" s="6"/>
      <c r="I34" s="6"/>
    </row>
    <row r="35" spans="2:9" ht="21" customHeight="1">
      <c r="B35" s="142"/>
      <c r="C35" s="177"/>
      <c r="D35" s="147"/>
      <c r="E35" s="149"/>
      <c r="F35" s="16" t="s">
        <v>42</v>
      </c>
      <c r="G35" s="17" t="str">
        <f>"SW-FW-RID-"&amp;30</f>
        <v>SW-FW-RID-30</v>
      </c>
      <c r="H35" s="6"/>
      <c r="I35" s="6"/>
    </row>
    <row r="36" spans="2:9" ht="21" customHeight="1">
      <c r="B36" s="142"/>
      <c r="C36" s="177"/>
      <c r="D36" s="147"/>
      <c r="E36" s="149"/>
      <c r="F36" s="16" t="s">
        <v>35</v>
      </c>
      <c r="G36" s="17" t="str">
        <f>"SW-FW-RID-"&amp;31</f>
        <v>SW-FW-RID-31</v>
      </c>
      <c r="H36" s="6"/>
      <c r="I36" s="6"/>
    </row>
    <row r="37" spans="2:9" ht="21" customHeight="1">
      <c r="B37" s="142"/>
      <c r="C37" s="177"/>
      <c r="D37" s="147"/>
      <c r="E37" s="149"/>
      <c r="F37" s="16" t="s">
        <v>36</v>
      </c>
      <c r="G37" s="17" t="str">
        <f>"SW-FW-RID-"&amp;32</f>
        <v>SW-FW-RID-32</v>
      </c>
      <c r="H37" s="6"/>
      <c r="I37" s="6"/>
    </row>
    <row r="38" spans="2:9" ht="21" customHeight="1">
      <c r="B38" s="142"/>
      <c r="C38" s="177"/>
      <c r="D38" s="147"/>
      <c r="E38" s="149"/>
      <c r="F38" s="16" t="s">
        <v>37</v>
      </c>
      <c r="G38" s="17" t="str">
        <f>"SW-FW-RID-"&amp;33</f>
        <v>SW-FW-RID-33</v>
      </c>
      <c r="H38" s="6"/>
      <c r="I38" s="6"/>
    </row>
    <row r="39" spans="2:9" ht="21" customHeight="1">
      <c r="B39" s="142"/>
      <c r="C39" s="176"/>
      <c r="D39" s="150"/>
      <c r="E39" s="152"/>
      <c r="F39" s="16" t="s">
        <v>38</v>
      </c>
      <c r="G39" s="17" t="str">
        <f>"SW-FW-RID-"&amp;34</f>
        <v>SW-FW-RID-34</v>
      </c>
      <c r="H39" s="6"/>
      <c r="I39" s="6"/>
    </row>
    <row r="40" spans="2:9" ht="33.950000000000003" customHeight="1">
      <c r="B40" s="142"/>
      <c r="C40" s="175" t="s">
        <v>93</v>
      </c>
      <c r="D40" s="144" t="s">
        <v>39</v>
      </c>
      <c r="E40" s="146"/>
      <c r="F40" s="16" t="s">
        <v>99</v>
      </c>
      <c r="G40" s="17" t="str">
        <f>"SW-FW-RID-"&amp;35</f>
        <v>SW-FW-RID-35</v>
      </c>
      <c r="H40" s="6"/>
      <c r="I40" s="6"/>
    </row>
    <row r="41" spans="2:9" ht="21" customHeight="1">
      <c r="B41" s="142"/>
      <c r="C41" s="177"/>
      <c r="D41" s="147"/>
      <c r="E41" s="149"/>
      <c r="F41" s="16" t="s">
        <v>95</v>
      </c>
      <c r="G41" s="17" t="str">
        <f>"SW-FW-RID-"&amp;36</f>
        <v>SW-FW-RID-36</v>
      </c>
      <c r="H41" s="6"/>
      <c r="I41" s="6"/>
    </row>
    <row r="42" spans="2:9" ht="21" customHeight="1">
      <c r="B42" s="142"/>
      <c r="C42" s="177"/>
      <c r="D42" s="150"/>
      <c r="E42" s="152"/>
      <c r="F42" s="16" t="s">
        <v>100</v>
      </c>
      <c r="G42" s="17" t="str">
        <f>"SW-FW-RID-"&amp;37</f>
        <v>SW-FW-RID-37</v>
      </c>
      <c r="H42" s="6"/>
      <c r="I42" s="6"/>
    </row>
    <row r="43" spans="2:9" ht="33.950000000000003" customHeight="1">
      <c r="B43" s="142"/>
      <c r="C43" s="177"/>
      <c r="D43" s="144" t="s">
        <v>40</v>
      </c>
      <c r="E43" s="146"/>
      <c r="F43" s="16" t="s">
        <v>94</v>
      </c>
      <c r="G43" s="17" t="str">
        <f>"SW-FW-RID-"&amp;38</f>
        <v>SW-FW-RID-38</v>
      </c>
      <c r="H43" s="6"/>
      <c r="I43" s="6"/>
    </row>
    <row r="44" spans="2:9" ht="21" customHeight="1">
      <c r="B44" s="142"/>
      <c r="C44" s="177"/>
      <c r="D44" s="147"/>
      <c r="E44" s="149"/>
      <c r="F44" s="16" t="s">
        <v>96</v>
      </c>
      <c r="G44" s="17" t="str">
        <f>"SW-FW-RID-"&amp;39</f>
        <v>SW-FW-RID-39</v>
      </c>
      <c r="H44" s="6"/>
      <c r="I44" s="6"/>
    </row>
    <row r="45" spans="2:9" ht="21" customHeight="1">
      <c r="B45" s="142"/>
      <c r="C45" s="176"/>
      <c r="D45" s="150"/>
      <c r="E45" s="152"/>
      <c r="F45" s="16" t="s">
        <v>97</v>
      </c>
      <c r="G45" s="17" t="str">
        <f>"SW-FW-RID-"&amp;40</f>
        <v>SW-FW-RID-40</v>
      </c>
      <c r="H45" s="6"/>
      <c r="I45" s="6"/>
    </row>
    <row r="46" spans="2:9" ht="33.950000000000003" customHeight="1">
      <c r="B46" s="142"/>
      <c r="C46" s="175" t="s">
        <v>18</v>
      </c>
      <c r="D46" s="67" t="s">
        <v>27</v>
      </c>
      <c r="E46" s="68"/>
      <c r="F46" s="16" t="s">
        <v>26</v>
      </c>
      <c r="G46" s="17" t="str">
        <f>"SW-FW-RID-"&amp;41</f>
        <v>SW-FW-RID-41</v>
      </c>
      <c r="H46" s="4"/>
      <c r="I46" s="4"/>
    </row>
    <row r="47" spans="2:9" ht="39.950000000000003" customHeight="1">
      <c r="B47" s="142"/>
      <c r="C47" s="177"/>
      <c r="D47" s="67" t="s">
        <v>28</v>
      </c>
      <c r="E47" s="68"/>
      <c r="F47" s="16" t="s">
        <v>327</v>
      </c>
      <c r="G47" s="17" t="str">
        <f>"SW-FW-RID-"&amp;42</f>
        <v>SW-FW-RID-42</v>
      </c>
      <c r="H47" s="4"/>
      <c r="I47" s="4"/>
    </row>
    <row r="48" spans="2:9" ht="33.950000000000003" customHeight="1">
      <c r="B48" s="143"/>
      <c r="C48" s="176"/>
      <c r="D48" s="67" t="s">
        <v>90</v>
      </c>
      <c r="E48" s="68"/>
      <c r="F48" s="16" t="s">
        <v>91</v>
      </c>
      <c r="G48" s="17" t="str">
        <f>"SW-FW-RID-"&amp;43</f>
        <v>SW-FW-RID-43</v>
      </c>
      <c r="H48" s="4"/>
      <c r="I48" s="4"/>
    </row>
    <row r="49" spans="2:9" ht="86.1" customHeight="1">
      <c r="B49" s="141" t="s">
        <v>49</v>
      </c>
      <c r="C49" s="67" t="s">
        <v>19</v>
      </c>
      <c r="D49" s="159"/>
      <c r="E49" s="68"/>
      <c r="F49" s="16" t="s">
        <v>328</v>
      </c>
      <c r="G49" s="17" t="str">
        <f>"SW-FW-RID-"&amp;44</f>
        <v>SW-FW-RID-44</v>
      </c>
      <c r="H49" s="18" t="s">
        <v>209</v>
      </c>
      <c r="I49" s="4"/>
    </row>
    <row r="50" spans="2:9" ht="54.95" customHeight="1">
      <c r="B50" s="142"/>
      <c r="C50" s="67" t="s">
        <v>98</v>
      </c>
      <c r="D50" s="159"/>
      <c r="E50" s="68"/>
      <c r="F50" s="16" t="s">
        <v>329</v>
      </c>
      <c r="G50" s="17" t="str">
        <f>"SW-FW-RID-"&amp;45</f>
        <v>SW-FW-RID-45</v>
      </c>
      <c r="H50" s="18" t="s">
        <v>210</v>
      </c>
      <c r="I50" s="4"/>
    </row>
    <row r="51" spans="2:9" ht="95.1" customHeight="1">
      <c r="B51" s="142"/>
      <c r="C51" s="153" t="s">
        <v>211</v>
      </c>
      <c r="D51" s="154"/>
      <c r="E51" s="155"/>
      <c r="F51" s="21" t="s">
        <v>330</v>
      </c>
      <c r="G51" s="17" t="str">
        <f>"SW-FW-RID-"&amp;69</f>
        <v>SW-FW-RID-69</v>
      </c>
      <c r="H51" s="18" t="s">
        <v>212</v>
      </c>
      <c r="I51" s="4"/>
    </row>
    <row r="52" spans="2:9" ht="95.1" customHeight="1">
      <c r="B52" s="143"/>
      <c r="C52" s="156"/>
      <c r="D52" s="157"/>
      <c r="E52" s="158"/>
      <c r="F52" s="21" t="s">
        <v>331</v>
      </c>
      <c r="G52" s="17" t="str">
        <f>"SW-FW-RID-"&amp;70</f>
        <v>SW-FW-RID-70</v>
      </c>
      <c r="H52" s="18" t="s">
        <v>213</v>
      </c>
      <c r="I52" s="4"/>
    </row>
    <row r="53" spans="2:9" ht="86.1" customHeight="1">
      <c r="B53" s="20" t="s">
        <v>50</v>
      </c>
      <c r="C53" s="75" t="s">
        <v>46</v>
      </c>
      <c r="D53" s="76"/>
      <c r="E53" s="77"/>
      <c r="F53" s="7"/>
      <c r="G53" s="4"/>
      <c r="H53" s="4"/>
      <c r="I53" s="4"/>
    </row>
    <row r="54" spans="2:9" ht="72.95" customHeight="1">
      <c r="B54" s="141" t="s">
        <v>68</v>
      </c>
      <c r="C54" s="144" t="s">
        <v>74</v>
      </c>
      <c r="D54" s="145"/>
      <c r="E54" s="146"/>
      <c r="F54" s="16" t="s">
        <v>292</v>
      </c>
      <c r="G54" s="17" t="str">
        <f>"SW-FW-RID-"&amp;46</f>
        <v>SW-FW-RID-46</v>
      </c>
      <c r="H54" s="22" t="s">
        <v>214</v>
      </c>
      <c r="I54" s="4"/>
    </row>
    <row r="55" spans="2:9" ht="54.95" customHeight="1">
      <c r="B55" s="142"/>
      <c r="C55" s="147"/>
      <c r="D55" s="148"/>
      <c r="E55" s="149"/>
      <c r="F55" s="16" t="s">
        <v>332</v>
      </c>
      <c r="G55" s="17" t="str">
        <f>"SW-FW-RID-"&amp;47</f>
        <v>SW-FW-RID-47</v>
      </c>
      <c r="H55" s="18" t="s">
        <v>215</v>
      </c>
      <c r="I55" s="4"/>
    </row>
    <row r="56" spans="2:9" ht="84.95" customHeight="1">
      <c r="B56" s="142"/>
      <c r="C56" s="147"/>
      <c r="D56" s="148"/>
      <c r="E56" s="149"/>
      <c r="F56" s="16" t="s">
        <v>333</v>
      </c>
      <c r="G56" s="17" t="str">
        <f>"SW-FW-RID-"&amp;48</f>
        <v>SW-FW-RID-48</v>
      </c>
      <c r="H56" s="18" t="s">
        <v>216</v>
      </c>
      <c r="I56" s="4"/>
    </row>
    <row r="57" spans="2:9" ht="129.94999999999999" customHeight="1">
      <c r="B57" s="142"/>
      <c r="C57" s="147"/>
      <c r="D57" s="148"/>
      <c r="E57" s="149"/>
      <c r="F57" s="16" t="s">
        <v>334</v>
      </c>
      <c r="G57" s="17" t="str">
        <f>"SW-FW-RID-"&amp;49</f>
        <v>SW-FW-RID-49</v>
      </c>
      <c r="H57" s="18" t="s">
        <v>217</v>
      </c>
      <c r="I57" s="4"/>
    </row>
    <row r="58" spans="2:9" ht="33.950000000000003" customHeight="1">
      <c r="B58" s="142"/>
      <c r="C58" s="147"/>
      <c r="D58" s="148"/>
      <c r="E58" s="149"/>
      <c r="F58" s="16" t="s">
        <v>218</v>
      </c>
      <c r="G58" s="17" t="str">
        <f>"SW-FW-RID-"&amp;50</f>
        <v>SW-FW-RID-50</v>
      </c>
      <c r="H58" s="18" t="s">
        <v>219</v>
      </c>
      <c r="I58" s="4"/>
    </row>
    <row r="59" spans="2:9" ht="33.950000000000003" customHeight="1">
      <c r="B59" s="142"/>
      <c r="C59" s="147"/>
      <c r="D59" s="148"/>
      <c r="E59" s="149"/>
      <c r="F59" s="16" t="s">
        <v>220</v>
      </c>
      <c r="G59" s="17" t="str">
        <f>"SW-FW-RID-"&amp;51</f>
        <v>SW-FW-RID-51</v>
      </c>
      <c r="H59" s="18" t="s">
        <v>221</v>
      </c>
      <c r="I59" s="4"/>
    </row>
    <row r="60" spans="2:9" ht="114.95" customHeight="1">
      <c r="B60" s="142"/>
      <c r="C60" s="147"/>
      <c r="D60" s="148"/>
      <c r="E60" s="149"/>
      <c r="F60" s="16" t="s">
        <v>335</v>
      </c>
      <c r="G60" s="17" t="str">
        <f>"SW-FW-RID-"&amp;52</f>
        <v>SW-FW-RID-52</v>
      </c>
      <c r="H60" s="18" t="s">
        <v>222</v>
      </c>
      <c r="I60" s="4"/>
    </row>
    <row r="61" spans="2:9" ht="72.95" customHeight="1">
      <c r="B61" s="142"/>
      <c r="C61" s="147"/>
      <c r="D61" s="148"/>
      <c r="E61" s="149"/>
      <c r="F61" s="16" t="s">
        <v>336</v>
      </c>
      <c r="G61" s="17" t="str">
        <f>"SW-FW-RID-"&amp;53</f>
        <v>SW-FW-RID-53</v>
      </c>
      <c r="H61" s="18" t="s">
        <v>337</v>
      </c>
      <c r="I61" s="4"/>
    </row>
    <row r="62" spans="2:9" ht="72.95" customHeight="1">
      <c r="B62" s="142"/>
      <c r="C62" s="147"/>
      <c r="D62" s="148"/>
      <c r="E62" s="149"/>
      <c r="F62" s="16" t="s">
        <v>338</v>
      </c>
      <c r="G62" s="17" t="str">
        <f>"SW-FW-RID-"&amp;81</f>
        <v>SW-FW-RID-81</v>
      </c>
      <c r="H62" s="18" t="s">
        <v>339</v>
      </c>
      <c r="I62" s="4"/>
    </row>
    <row r="63" spans="2:9" ht="60" customHeight="1">
      <c r="B63" s="142"/>
      <c r="C63" s="147"/>
      <c r="D63" s="148"/>
      <c r="E63" s="149"/>
      <c r="F63" s="16" t="s">
        <v>223</v>
      </c>
      <c r="G63" s="17" t="str">
        <f>"SW-FW-RID-"&amp;54</f>
        <v>SW-FW-RID-54</v>
      </c>
      <c r="H63" s="18" t="s">
        <v>224</v>
      </c>
      <c r="I63" s="4"/>
    </row>
    <row r="64" spans="2:9" ht="95.1" customHeight="1">
      <c r="B64" s="142"/>
      <c r="C64" s="147"/>
      <c r="D64" s="148"/>
      <c r="E64" s="149"/>
      <c r="F64" s="21" t="s">
        <v>340</v>
      </c>
      <c r="G64" s="17" t="str">
        <f>"SW-FW-RID-"&amp;71</f>
        <v>SW-FW-RID-71</v>
      </c>
      <c r="H64" s="18" t="s">
        <v>225</v>
      </c>
      <c r="I64" s="4"/>
    </row>
    <row r="65" spans="2:9" ht="95.1" customHeight="1">
      <c r="B65" s="142"/>
      <c r="C65" s="147"/>
      <c r="D65" s="148"/>
      <c r="E65" s="149"/>
      <c r="F65" s="21" t="s">
        <v>341</v>
      </c>
      <c r="G65" s="17" t="str">
        <f>"SW-FW-RID-"&amp;72</f>
        <v>SW-FW-RID-72</v>
      </c>
      <c r="H65" s="18" t="s">
        <v>226</v>
      </c>
      <c r="I65" s="4"/>
    </row>
    <row r="66" spans="2:9" ht="95.1" customHeight="1">
      <c r="B66" s="142"/>
      <c r="C66" s="147"/>
      <c r="D66" s="148"/>
      <c r="E66" s="149"/>
      <c r="F66" s="21" t="s">
        <v>227</v>
      </c>
      <c r="G66" s="17" t="str">
        <f>"SW-FW-RID-"&amp;73</f>
        <v>SW-FW-RID-73</v>
      </c>
      <c r="H66" s="18" t="s">
        <v>228</v>
      </c>
      <c r="I66" s="4"/>
    </row>
    <row r="67" spans="2:9" ht="95.1" customHeight="1">
      <c r="B67" s="142"/>
      <c r="C67" s="147"/>
      <c r="D67" s="148"/>
      <c r="E67" s="149"/>
      <c r="F67" s="21" t="s">
        <v>229</v>
      </c>
      <c r="G67" s="17" t="str">
        <f>"SW-FW-RID-"&amp;74</f>
        <v>SW-FW-RID-74</v>
      </c>
      <c r="H67" s="18" t="s">
        <v>230</v>
      </c>
      <c r="I67" s="4"/>
    </row>
    <row r="68" spans="2:9" ht="95.1" customHeight="1">
      <c r="B68" s="142"/>
      <c r="C68" s="147"/>
      <c r="D68" s="148"/>
      <c r="E68" s="149"/>
      <c r="F68" s="21" t="s">
        <v>231</v>
      </c>
      <c r="G68" s="17" t="str">
        <f>"SW-FW-RID-"&amp;75</f>
        <v>SW-FW-RID-75</v>
      </c>
      <c r="H68" s="18" t="s">
        <v>232</v>
      </c>
      <c r="I68" s="4"/>
    </row>
    <row r="69" spans="2:9" ht="95.1" customHeight="1">
      <c r="B69" s="142"/>
      <c r="C69" s="147"/>
      <c r="D69" s="148"/>
      <c r="E69" s="149"/>
      <c r="F69" s="21" t="s">
        <v>342</v>
      </c>
      <c r="G69" s="17" t="str">
        <f>"SW-FW-RID-"&amp;76</f>
        <v>SW-FW-RID-76</v>
      </c>
      <c r="H69" s="18" t="s">
        <v>233</v>
      </c>
      <c r="I69" s="4"/>
    </row>
    <row r="70" spans="2:9" ht="95.1" customHeight="1">
      <c r="B70" s="142"/>
      <c r="C70" s="147"/>
      <c r="D70" s="148"/>
      <c r="E70" s="149"/>
      <c r="F70" s="21" t="s">
        <v>234</v>
      </c>
      <c r="G70" s="17" t="str">
        <f>"SW-FW-RID-"&amp;77</f>
        <v>SW-FW-RID-77</v>
      </c>
      <c r="H70" s="18" t="s">
        <v>235</v>
      </c>
      <c r="I70" s="4"/>
    </row>
    <row r="71" spans="2:9" ht="95.1" customHeight="1">
      <c r="B71" s="142"/>
      <c r="C71" s="147"/>
      <c r="D71" s="148"/>
      <c r="E71" s="149"/>
      <c r="F71" s="21" t="s">
        <v>236</v>
      </c>
      <c r="G71" s="17" t="str">
        <f>"SW-FW-RID-"&amp;78</f>
        <v>SW-FW-RID-78</v>
      </c>
      <c r="H71" s="18" t="s">
        <v>237</v>
      </c>
      <c r="I71" s="4"/>
    </row>
    <row r="72" spans="2:9" ht="95.1" customHeight="1">
      <c r="B72" s="142"/>
      <c r="C72" s="147"/>
      <c r="D72" s="148"/>
      <c r="E72" s="149"/>
      <c r="F72" s="21" t="s">
        <v>238</v>
      </c>
      <c r="G72" s="17" t="str">
        <f>"SW-FW-RID-"&amp;79</f>
        <v>SW-FW-RID-79</v>
      </c>
      <c r="H72" s="18" t="s">
        <v>239</v>
      </c>
      <c r="I72" s="4"/>
    </row>
    <row r="73" spans="2:9" ht="95.1" customHeight="1">
      <c r="B73" s="143"/>
      <c r="C73" s="150"/>
      <c r="D73" s="151"/>
      <c r="E73" s="152"/>
      <c r="F73" s="21" t="s">
        <v>240</v>
      </c>
      <c r="G73" s="17" t="str">
        <f>"SW-FW-RID-"&amp;80</f>
        <v>SW-FW-RID-80</v>
      </c>
      <c r="H73" s="18" t="s">
        <v>241</v>
      </c>
      <c r="I73" s="4"/>
    </row>
    <row r="74" spans="2:9" ht="125.1" customHeight="1">
      <c r="B74" s="160" t="s">
        <v>51</v>
      </c>
      <c r="C74" s="75" t="s">
        <v>242</v>
      </c>
      <c r="D74" s="76"/>
      <c r="E74" s="77"/>
      <c r="F74" s="21" t="s">
        <v>243</v>
      </c>
      <c r="G74" s="17" t="str">
        <f>"SW-FW-RID-"&amp;55</f>
        <v>SW-FW-RID-55</v>
      </c>
      <c r="H74" s="18" t="s">
        <v>244</v>
      </c>
      <c r="I74" s="4"/>
    </row>
    <row r="75" spans="2:9" ht="57.75" customHeight="1">
      <c r="B75" s="162"/>
      <c r="C75" s="75" t="s">
        <v>77</v>
      </c>
      <c r="D75" s="76"/>
      <c r="E75" s="77"/>
      <c r="F75" s="21" t="s">
        <v>245</v>
      </c>
      <c r="G75" s="17" t="str">
        <f>"SW-FW-RID-"&amp;56</f>
        <v>SW-FW-RID-56</v>
      </c>
      <c r="H75" s="18" t="s">
        <v>246</v>
      </c>
      <c r="I75" s="4"/>
    </row>
    <row r="76" spans="2:9" ht="86.1" customHeight="1">
      <c r="B76" s="23" t="s">
        <v>52</v>
      </c>
      <c r="C76" s="75" t="s">
        <v>46</v>
      </c>
      <c r="D76" s="76"/>
      <c r="E76" s="77"/>
      <c r="F76" s="7"/>
      <c r="G76" s="4"/>
      <c r="H76" s="4"/>
      <c r="I76" s="4"/>
    </row>
    <row r="77" spans="2:9" ht="192" customHeight="1">
      <c r="B77" s="24" t="s">
        <v>53</v>
      </c>
      <c r="C77" s="75" t="s">
        <v>46</v>
      </c>
      <c r="D77" s="76"/>
      <c r="E77" s="77"/>
      <c r="F77" s="7"/>
      <c r="G77" s="4"/>
      <c r="H77" s="4"/>
      <c r="I77" s="4"/>
    </row>
    <row r="78" spans="2:9" ht="99" customHeight="1">
      <c r="B78" s="23" t="s">
        <v>54</v>
      </c>
      <c r="C78" s="75" t="s">
        <v>46</v>
      </c>
      <c r="D78" s="76"/>
      <c r="E78" s="77"/>
      <c r="F78" s="7"/>
      <c r="G78" s="4"/>
      <c r="H78" s="4"/>
      <c r="I78" s="4"/>
    </row>
    <row r="79" spans="2:9" ht="60" customHeight="1">
      <c r="B79" s="23" t="s">
        <v>55</v>
      </c>
      <c r="C79" s="64" t="s">
        <v>247</v>
      </c>
      <c r="D79" s="65"/>
      <c r="E79" s="66"/>
      <c r="F79" s="7"/>
      <c r="G79" s="4"/>
      <c r="H79" s="4"/>
      <c r="I79" s="4"/>
    </row>
    <row r="80" spans="2:9" ht="63.95" customHeight="1">
      <c r="B80" s="23" t="s">
        <v>56</v>
      </c>
      <c r="C80" s="64" t="s">
        <v>247</v>
      </c>
      <c r="D80" s="65"/>
      <c r="E80" s="66"/>
      <c r="F80" s="7"/>
      <c r="G80" s="4"/>
      <c r="H80" s="4"/>
      <c r="I80" s="4"/>
    </row>
    <row r="81" spans="2:9" ht="47.1" customHeight="1">
      <c r="B81" s="160" t="s">
        <v>57</v>
      </c>
      <c r="C81" s="153" t="s">
        <v>73</v>
      </c>
      <c r="D81" s="154"/>
      <c r="E81" s="155"/>
      <c r="F81" s="25" t="s">
        <v>248</v>
      </c>
      <c r="G81" s="17" t="str">
        <f>"SW-FW-RID-"&amp;57</f>
        <v>SW-FW-RID-57</v>
      </c>
      <c r="H81" s="18" t="s">
        <v>249</v>
      </c>
      <c r="I81" s="10"/>
    </row>
    <row r="82" spans="2:9" ht="60" customHeight="1">
      <c r="B82" s="161"/>
      <c r="C82" s="172"/>
      <c r="D82" s="173"/>
      <c r="E82" s="174"/>
      <c r="F82" s="21" t="inlineStr">
        <is>
          <t xml:space="preserve">실시간 신호처리 주기는 1.00ms, 허용 오차 +/-5%(0.95~1.05ms)이며 각 블록 처리는 다음 처리 시작 전에 완료되어야 한다.</t>
        </is>
      </c>
      <c r="G82" s="17" t="str">
        <f>"SW-FW-RID-"&amp;58</f>
        <v>SW-FW-RID-58</v>
      </c>
      <c r="H82" s="18" t="s">
        <v>251</v>
      </c>
      <c r="I82" s="4"/>
    </row>
    <row r="83" spans="2:9" ht="42.95" customHeight="1">
      <c r="B83" s="161"/>
      <c r="C83" s="172"/>
      <c r="D83" s="173"/>
      <c r="E83" s="174"/>
      <c r="F83" s="21" t="s">
        <v>252</v>
      </c>
      <c r="G83" s="17" t="str">
        <f>"SW-FW-RID-"&amp;59</f>
        <v>SW-FW-RID-59</v>
      </c>
      <c r="H83" s="18" t="s">
        <v>253</v>
      </c>
      <c r="I83" s="4"/>
    </row>
    <row r="84" spans="2:9" ht="33.950000000000003" customHeight="1">
      <c r="B84" s="161"/>
      <c r="C84" s="172"/>
      <c r="D84" s="173"/>
      <c r="E84" s="174"/>
      <c r="F84" s="21" t="s">
        <v>254</v>
      </c>
      <c r="G84" s="17" t="str">
        <f>"SW-FW-RID-"&amp;60</f>
        <v>SW-FW-RID-60</v>
      </c>
      <c r="H84" s="18" t="s">
        <v>255</v>
      </c>
      <c r="I84" s="4"/>
    </row>
    <row r="85" spans="2:9" ht="33.950000000000003" customHeight="1">
      <c r="B85" s="161"/>
      <c r="C85" s="172"/>
      <c r="D85" s="173"/>
      <c r="E85" s="174"/>
      <c r="F85" s="21" t="s">
        <v>256</v>
      </c>
      <c r="G85" s="17" t="str">
        <f>"SW-FW-RID-"&amp;61</f>
        <v>SW-FW-RID-61</v>
      </c>
      <c r="H85" s="18" t="s">
        <v>257</v>
      </c>
      <c r="I85" s="4"/>
    </row>
    <row r="86" spans="2:9" ht="33.950000000000003" customHeight="1">
      <c r="B86" s="161"/>
      <c r="C86" s="156"/>
      <c r="D86" s="157"/>
      <c r="E86" s="158"/>
      <c r="F86" s="21" t="s">
        <v>258</v>
      </c>
      <c r="G86" s="17" t="str">
        <f>"SW-FW-RID-"&amp;62</f>
        <v>SW-FW-RID-62</v>
      </c>
      <c r="H86" s="18" t="s">
        <v>259</v>
      </c>
      <c r="I86" s="4"/>
    </row>
    <row r="87" spans="2:9" ht="33" customHeight="1">
      <c r="B87" s="161"/>
      <c r="C87" s="163"/>
      <c r="D87" s="164"/>
      <c r="E87" s="165"/>
      <c r="F87" s="21" t="s">
        <v>260</v>
      </c>
      <c r="G87" s="17" t="str">
        <f>"SW-FW-RID-"&amp;63</f>
        <v>SW-FW-RID-63</v>
      </c>
      <c r="H87" s="4"/>
      <c r="I87" s="4"/>
    </row>
    <row r="88" spans="2:9" ht="33.950000000000003" customHeight="1">
      <c r="B88" s="161"/>
      <c r="C88" s="166"/>
      <c r="D88" s="167"/>
      <c r="E88" s="168"/>
      <c r="F88" s="21" t="s">
        <v>261</v>
      </c>
      <c r="G88" s="17" t="str">
        <f>"SW-FW-RID-"&amp;64</f>
        <v>SW-FW-RID-64</v>
      </c>
      <c r="H88" s="18" t="s">
        <v>262</v>
      </c>
      <c r="I88" s="4"/>
    </row>
    <row r="89" spans="2:9" ht="33.950000000000003" customHeight="1">
      <c r="B89" s="161"/>
      <c r="C89" s="166"/>
      <c r="D89" s="167"/>
      <c r="E89" s="168"/>
      <c r="F89" s="21" t="s">
        <v>263</v>
      </c>
      <c r="G89" s="17" t="str">
        <f>"SW-FW-RID-"&amp;65</f>
        <v>SW-FW-RID-65</v>
      </c>
      <c r="H89" s="18" t="s">
        <v>264</v>
      </c>
      <c r="I89" s="4"/>
    </row>
    <row r="90" spans="2:9" ht="33.950000000000003" customHeight="1">
      <c r="B90" s="161"/>
      <c r="C90" s="166"/>
      <c r="D90" s="167"/>
      <c r="E90" s="168"/>
      <c r="F90" s="21" t="s">
        <v>265</v>
      </c>
      <c r="G90" s="17" t="str">
        <f>"SW-FW-RID-"&amp;66</f>
        <v>SW-FW-RID-66</v>
      </c>
      <c r="H90" s="18" t="s">
        <v>266</v>
      </c>
      <c r="I90" s="4"/>
    </row>
    <row r="91" spans="2:9" ht="33.950000000000003" customHeight="1">
      <c r="B91" s="161"/>
      <c r="C91" s="166"/>
      <c r="D91" s="167"/>
      <c r="E91" s="168"/>
      <c r="F91" s="21" t="s">
        <v>267</v>
      </c>
      <c r="G91" s="17" t="str">
        <f>"SW-FW-RID-"&amp;67</f>
        <v>SW-FW-RID-67</v>
      </c>
      <c r="H91" s="18" t="s">
        <v>268</v>
      </c>
      <c r="I91" s="4"/>
    </row>
    <row r="92" spans="2:9" ht="33.950000000000003" customHeight="1">
      <c r="B92" s="162"/>
      <c r="C92" s="169"/>
      <c r="D92" s="170"/>
      <c r="E92" s="171"/>
      <c r="F92" s="21" t="s">
        <v>269</v>
      </c>
      <c r="G92" s="17" t="str">
        <f>"SW-FW-RID-"&amp;68</f>
        <v>SW-FW-RID-68</v>
      </c>
      <c r="H92" s="18" t="s">
        <v>270</v>
      </c>
      <c r="I92" s="4"/>
    </row>
  </sheetData>
  <mergeCells count="60">
    <mergeCell ref="D19:E19"/>
    <mergeCell ref="C20:C23"/>
    <mergeCell ref="C40:C45"/>
    <mergeCell ref="D40:E42"/>
    <mergeCell ref="D43:E45"/>
    <mergeCell ref="C29:C39"/>
    <mergeCell ref="D34:E39"/>
    <mergeCell ref="D20:E21"/>
    <mergeCell ref="D22:E22"/>
    <mergeCell ref="D23:E23"/>
    <mergeCell ref="E25:E27"/>
    <mergeCell ref="D25:D28"/>
    <mergeCell ref="D9:E9"/>
    <mergeCell ref="B6:B19"/>
    <mergeCell ref="C6:C12"/>
    <mergeCell ref="C24:C28"/>
    <mergeCell ref="D10:E10"/>
    <mergeCell ref="D11:E11"/>
    <mergeCell ref="D14:E14"/>
    <mergeCell ref="D15:E15"/>
    <mergeCell ref="D16:E16"/>
    <mergeCell ref="B20:B48"/>
    <mergeCell ref="D17:E17"/>
    <mergeCell ref="C13:C17"/>
    <mergeCell ref="D18:E18"/>
    <mergeCell ref="D24:E24"/>
    <mergeCell ref="D29:E33"/>
    <mergeCell ref="D12:E12"/>
    <mergeCell ref="D48:E48"/>
    <mergeCell ref="B54:B73"/>
    <mergeCell ref="B3:I3"/>
    <mergeCell ref="D6:D7"/>
    <mergeCell ref="H4:I4"/>
    <mergeCell ref="C18:C19"/>
    <mergeCell ref="F4:F5"/>
    <mergeCell ref="G4:G5"/>
    <mergeCell ref="B4:B5"/>
    <mergeCell ref="C4:E5"/>
    <mergeCell ref="D46:E46"/>
    <mergeCell ref="C46:C48"/>
    <mergeCell ref="C50:E50"/>
    <mergeCell ref="H6:H7"/>
    <mergeCell ref="D47:E47"/>
    <mergeCell ref="D8:E8"/>
    <mergeCell ref="B81:B92"/>
    <mergeCell ref="B74:B75"/>
    <mergeCell ref="C53:E53"/>
    <mergeCell ref="C78:E78"/>
    <mergeCell ref="C74:E74"/>
    <mergeCell ref="C87:E92"/>
    <mergeCell ref="C81:E86"/>
    <mergeCell ref="C80:E80"/>
    <mergeCell ref="C79:E79"/>
    <mergeCell ref="B49:B52"/>
    <mergeCell ref="C54:E73"/>
    <mergeCell ref="C75:E75"/>
    <mergeCell ref="C77:E77"/>
    <mergeCell ref="C76:E76"/>
    <mergeCell ref="C51:E52"/>
    <mergeCell ref="C49:E49"/>
  </mergeCells>
  <phoneticPr fontId="1" type="noConversion"/>
  <pageMargins left="0.25" right="0.25" top="0.75" bottom="0.75" header="0.3" footer="0.3"/>
  <pageSetup paperSize="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EF15-6BAE-4E21-95C9-8378DC70C5F0}">
  <sheetPr>
    <pageSetUpPr fitToPage="1"/>
  </sheetPr>
  <dimension ref="A1:I250"/>
  <sheetViews>
    <sheetView zoomScale="75" zoomScaleNormal="75" zoomScalePageLayoutView="85" workbookViewId="0">
      <pane xSplit="5" ySplit="5" topLeftCell="F122" activePane="bottomRight" state="frozen"/>
      <selection pane="topRight" activeCell="F1" sqref="F1"/>
      <selection pane="bottomLeft" activeCell="A6" sqref="A6"/>
      <selection pane="bottomRight" activeCell="F12" sqref="F12"/>
    </sheetView>
  </sheetViews>
  <sheetFormatPr defaultColWidth="9" defaultRowHeight="16.5"/>
  <cols>
    <col min="1" max="1" width="6.625" style="1" customWidth="1"/>
    <col min="2" max="2" width="20.875" style="3" customWidth="1"/>
    <col min="3" max="3" width="15.875" style="1" customWidth="1"/>
    <col min="4" max="4" width="7.125" style="1" customWidth="1"/>
    <col min="5" max="5" width="10.5" style="1" customWidth="1"/>
    <col min="6" max="6" width="39.125" style="8" customWidth="1"/>
    <col min="7" max="7" width="13.25" style="1" customWidth="1"/>
    <col min="8" max="8" width="13.125" style="1" customWidth="1"/>
    <col min="9" max="9" width="9.375" style="2" customWidth="1"/>
    <col min="10" max="10" width="14.625" style="1" customWidth="1"/>
    <col min="11" max="16384" width="9" style="1"/>
  </cols>
  <sheetData>
    <row r="1" spans="1:9" ht="24" customHeight="1">
      <c r="A1" s="108" t="s">
        <v>343</v>
      </c>
      <c r="B1" s="109"/>
      <c r="C1" s="109"/>
      <c r="D1" s="109"/>
      <c r="E1" s="109"/>
      <c r="F1" s="109"/>
      <c r="G1" s="109"/>
      <c r="H1" s="109"/>
      <c r="I1" s="109"/>
    </row>
    <row r="3" spans="1:9" ht="46.5" customHeight="1">
      <c r="B3" s="112" t="s">
        <v>78</v>
      </c>
      <c r="C3" s="112"/>
      <c r="D3" s="112"/>
      <c r="E3" s="112"/>
      <c r="F3" s="112"/>
      <c r="G3" s="112"/>
      <c r="H3" s="112"/>
      <c r="I3" s="112"/>
    </row>
    <row r="4" spans="1:9" ht="38.450000000000003" customHeight="1">
      <c r="B4" s="113" t="s">
        <v>48</v>
      </c>
      <c r="C4" s="114" t="s">
        <v>47</v>
      </c>
      <c r="D4" s="114"/>
      <c r="E4" s="114"/>
      <c r="F4" s="113" t="s">
        <v>24</v>
      </c>
      <c r="G4" s="114" t="s">
        <v>10</v>
      </c>
      <c r="H4" s="115" t="s">
        <v>70</v>
      </c>
      <c r="I4" s="116"/>
    </row>
    <row r="5" spans="1:9">
      <c r="B5" s="113"/>
      <c r="C5" s="114"/>
      <c r="D5" s="114"/>
      <c r="E5" s="114"/>
      <c r="F5" s="113"/>
      <c r="G5" s="114"/>
      <c r="H5" s="5" t="s">
        <v>71</v>
      </c>
      <c r="I5" s="5" t="s">
        <v>72</v>
      </c>
    </row>
    <row r="6" spans="1:9" ht="60" customHeight="1">
      <c r="A6" s="26" t="s">
        <v>276</v>
      </c>
      <c r="B6" s="102" t="s">
        <v>101</v>
      </c>
      <c r="C6" s="49" t="s">
        <v>62</v>
      </c>
      <c r="D6" s="49" t="s">
        <v>11</v>
      </c>
      <c r="E6" s="15" t="s">
        <v>80</v>
      </c>
      <c r="F6" s="16" t="s">
        <v>271</v>
      </c>
      <c r="G6" s="17" t="s">
        <v>115</v>
      </c>
      <c r="H6" s="41" t="s">
        <v>195</v>
      </c>
      <c r="I6" s="4"/>
    </row>
    <row r="7" spans="1:9" ht="39.950000000000003" customHeight="1">
      <c r="A7" s="26" t="s">
        <v>276</v>
      </c>
      <c r="B7" s="103"/>
      <c r="C7" s="50"/>
      <c r="D7" s="51"/>
      <c r="E7" s="19" t="s">
        <v>69</v>
      </c>
      <c r="F7" s="16" t="s">
        <v>274</v>
      </c>
      <c r="G7" s="17" t="s">
        <v>116</v>
      </c>
      <c r="H7" s="42"/>
      <c r="I7" s="4"/>
    </row>
    <row r="8" spans="1:9" ht="33.950000000000003" customHeight="1">
      <c r="A8" s="26" t="s">
        <v>276</v>
      </c>
      <c r="B8" s="103"/>
      <c r="C8" s="50"/>
      <c r="D8" s="110" t="s">
        <v>12</v>
      </c>
      <c r="E8" s="111"/>
      <c r="F8" s="16" t="s">
        <v>82</v>
      </c>
      <c r="G8" s="17" t="s">
        <v>117</v>
      </c>
      <c r="H8" s="18" t="s">
        <v>196</v>
      </c>
      <c r="I8" s="9"/>
    </row>
    <row r="9" spans="1:9" ht="47.1" customHeight="1">
      <c r="A9" s="26" t="s">
        <v>276</v>
      </c>
      <c r="B9" s="103"/>
      <c r="C9" s="50"/>
      <c r="D9" s="110" t="s">
        <v>13</v>
      </c>
      <c r="E9" s="111"/>
      <c r="F9" s="16" t="s">
        <v>21</v>
      </c>
      <c r="G9" s="17" t="s">
        <v>118</v>
      </c>
      <c r="H9" s="18" t="s">
        <v>197</v>
      </c>
      <c r="I9" s="4"/>
    </row>
    <row r="10" spans="1:9" ht="33.950000000000003" customHeight="1">
      <c r="A10" s="26" t="s">
        <v>276</v>
      </c>
      <c r="B10" s="103"/>
      <c r="C10" s="50"/>
      <c r="D10" s="110" t="s">
        <v>14</v>
      </c>
      <c r="E10" s="111"/>
      <c r="F10" s="16" t="s">
        <v>83</v>
      </c>
      <c r="G10" s="17" t="s">
        <v>119</v>
      </c>
      <c r="H10" s="18" t="s">
        <v>198</v>
      </c>
      <c r="I10" s="4"/>
    </row>
    <row r="11" spans="1:9" ht="47.1" customHeight="1">
      <c r="A11" s="26" t="s">
        <v>276</v>
      </c>
      <c r="B11" s="103"/>
      <c r="C11" s="50"/>
      <c r="D11" s="110" t="s">
        <v>20</v>
      </c>
      <c r="E11" s="111"/>
      <c r="F11" s="16" t="s">
        <v>275</v>
      </c>
      <c r="G11" s="17" t="s">
        <v>120</v>
      </c>
      <c r="H11" s="18" t="s">
        <v>199</v>
      </c>
      <c r="I11" s="4"/>
    </row>
    <row r="12" spans="1:9" ht="60" customHeight="1">
      <c r="A12" s="26" t="s">
        <v>276</v>
      </c>
      <c r="B12" s="103"/>
      <c r="C12" s="51"/>
      <c r="D12" s="110" t="s">
        <v>44</v>
      </c>
      <c r="E12" s="111"/>
      <c r="F12" s="16" t="s">
        <v>59</v>
      </c>
      <c r="G12" s="17" t="s">
        <v>121</v>
      </c>
      <c r="H12" s="4"/>
      <c r="I12" s="4"/>
    </row>
    <row r="13" spans="1:9" ht="47.1" customHeight="1">
      <c r="A13" s="27" t="s">
        <v>272</v>
      </c>
      <c r="B13" s="103"/>
      <c r="C13" s="49" t="s">
        <v>63</v>
      </c>
      <c r="D13" s="33" t="s">
        <v>84</v>
      </c>
      <c r="E13" s="33" t="s">
        <v>79</v>
      </c>
      <c r="F13" s="28" t="s">
        <v>85</v>
      </c>
      <c r="G13" s="43" t="s">
        <v>122</v>
      </c>
      <c r="H13" s="29" t="s">
        <v>277</v>
      </c>
      <c r="I13" s="44"/>
    </row>
    <row r="14" spans="1:9" ht="47.1" customHeight="1">
      <c r="A14" s="30" t="s">
        <v>273</v>
      </c>
      <c r="B14" s="103"/>
      <c r="C14" s="50"/>
      <c r="D14" s="34" t="s">
        <v>84</v>
      </c>
      <c r="E14" s="34" t="s">
        <v>79</v>
      </c>
      <c r="F14" s="31" t="s">
        <v>85</v>
      </c>
      <c r="G14" s="45" t="s">
        <v>122</v>
      </c>
      <c r="H14" s="32" t="s">
        <v>200</v>
      </c>
      <c r="I14" s="46"/>
    </row>
    <row r="15" spans="1:9" ht="47.1" customHeight="1">
      <c r="A15" s="27" t="s">
        <v>272</v>
      </c>
      <c r="B15" s="103"/>
      <c r="C15" s="50"/>
      <c r="D15" s="89" t="s">
        <v>60</v>
      </c>
      <c r="E15" s="91"/>
      <c r="F15" s="28" t="s">
        <v>64</v>
      </c>
      <c r="G15" s="43" t="s">
        <v>123</v>
      </c>
      <c r="H15" s="29" t="s">
        <v>278</v>
      </c>
      <c r="I15" s="44"/>
    </row>
    <row r="16" spans="1:9" ht="47.1" customHeight="1">
      <c r="A16" s="30" t="s">
        <v>273</v>
      </c>
      <c r="B16" s="103"/>
      <c r="C16" s="50"/>
      <c r="D16" s="87" t="s">
        <v>60</v>
      </c>
      <c r="E16" s="88"/>
      <c r="F16" s="31" t="s">
        <v>64</v>
      </c>
      <c r="G16" s="45" t="s">
        <v>123</v>
      </c>
      <c r="H16" s="32" t="s">
        <v>201</v>
      </c>
      <c r="I16" s="46"/>
    </row>
    <row r="17" spans="1:9" ht="47.1" customHeight="1">
      <c r="A17" s="27" t="s">
        <v>272</v>
      </c>
      <c r="B17" s="103"/>
      <c r="C17" s="50"/>
      <c r="D17" s="89" t="s">
        <v>61</v>
      </c>
      <c r="E17" s="91"/>
      <c r="F17" s="28" t="s">
        <v>22</v>
      </c>
      <c r="G17" s="43" t="s">
        <v>124</v>
      </c>
      <c r="H17" s="29" t="s">
        <v>279</v>
      </c>
      <c r="I17" s="44"/>
    </row>
    <row r="18" spans="1:9" ht="47.1" customHeight="1">
      <c r="A18" s="30" t="s">
        <v>273</v>
      </c>
      <c r="B18" s="103"/>
      <c r="C18" s="50"/>
      <c r="D18" s="87" t="s">
        <v>61</v>
      </c>
      <c r="E18" s="88"/>
      <c r="F18" s="31" t="s">
        <v>22</v>
      </c>
      <c r="G18" s="45" t="s">
        <v>124</v>
      </c>
      <c r="H18" s="32" t="s">
        <v>202</v>
      </c>
      <c r="I18" s="46"/>
    </row>
    <row r="19" spans="1:9" ht="47.1" customHeight="1">
      <c r="A19" s="27" t="s">
        <v>272</v>
      </c>
      <c r="B19" s="103"/>
      <c r="C19" s="50"/>
      <c r="D19" s="89" t="s">
        <v>45</v>
      </c>
      <c r="E19" s="91"/>
      <c r="F19" s="28" t="s">
        <v>280</v>
      </c>
      <c r="G19" s="43" t="s">
        <v>125</v>
      </c>
      <c r="H19" s="29" t="s">
        <v>281</v>
      </c>
      <c r="I19" s="44"/>
    </row>
    <row r="20" spans="1:9" ht="47.1" customHeight="1">
      <c r="A20" s="30" t="s">
        <v>273</v>
      </c>
      <c r="B20" s="103"/>
      <c r="C20" s="50"/>
      <c r="D20" s="87" t="s">
        <v>45</v>
      </c>
      <c r="E20" s="88"/>
      <c r="F20" s="31" t="s">
        <v>280</v>
      </c>
      <c r="G20" s="45" t="s">
        <v>125</v>
      </c>
      <c r="H20" s="32" t="s">
        <v>203</v>
      </c>
      <c r="I20" s="46"/>
    </row>
    <row r="21" spans="1:9" ht="47.1" customHeight="1">
      <c r="A21" s="27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21" s="103"/>
      <c r="C21" s="50"/>
      <c r="D21" s="89" t="inlineStr">
        <is>
          <r>
            <rPr>
              <rFont val="맑은 고딕"/>
              <sz val="11"/>
              <b val="0"/>
              <color rgb="FF666666"/>
            </rPr>
            <t xml:space="preserve">사운드 처리 주기</t>
          </r>
        </is>
      </c>
      <c r="E21" s="91"/>
      <c r="F21" s="28" t="inlineStr">
        <is>
          <r>
            <rPr>
              <rFont val="맑은 고딕"/>
              <sz val="11"/>
              <b val="0"/>
              <color rgb="FF666666"/>
            </rPr>
            <t xml:space="preserve">1ms</t>
          </r>
          <r>
            <rPr>
              <rFont val="맑은 고딕"/>
              <sz val="11"/>
              <b val="1"/>
              <color rgb="FF9C0006"/>
            </rPr>
            <t xml:space="preserve">ec</t>
          </r>
        </is>
      </c>
      <c r="G21" s="43" t="inlineStr">
        <is>
          <r>
            <rPr>
              <rFont val="맑은 고딕"/>
              <sz val="11"/>
              <b val="0"/>
              <color rgb="FF666666"/>
            </rPr>
            <t xml:space="preserve">SW-FW-RID-12</t>
          </r>
        </is>
      </c>
      <c r="H21" s="29" t="inlineStr">
        <is>
          <r>
            <rPr>
              <rFont val="맑은 고딕"/>
              <sz val="11"/>
              <b val="0"/>
              <color rgb="FF666666"/>
            </rPr>
            <t xml:space="preserve">SYS-RID-FW</t>
          </r>
          <r>
            <rPr>
              <rFont val="맑은 고딕"/>
              <sz val="11"/>
              <b val="1"/>
              <color rgb="FF9C0006"/>
            </rPr>
            <t xml:space="preserve">:</t>
          </r>
          <r>
            <rPr>
              <rFont val="맑은 고딕"/>
              <sz val="11"/>
              <b val="0"/>
              <color rgb="FF666666"/>
            </rPr>
            <t xml:space="preserve">1</t>
          </r>
          <r>
            <rPr>
              <rFont val="맑은 고딕"/>
              <sz val="11"/>
              <b val="1"/>
              <color rgb="FF9C0006"/>
            </rPr>
            <t xml:space="preserve">1</t>
          </r>
        </is>
      </c>
      <c r="I21" s="44"/>
    </row>
    <row r="22" spans="1:9" ht="47.1" customHeight="1">
      <c r="A22" s="30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22" s="103"/>
      <c r="C22" s="51"/>
      <c r="D22" s="87" t="inlineStr">
        <is>
          <r>
            <rPr>
              <rFont val="맑은 고딕"/>
              <sz val="11"/>
              <b val="0"/>
              <color rgb="FF666666"/>
            </rPr>
            <t xml:space="preserve">사운드 처리 주기</t>
          </r>
        </is>
      </c>
      <c r="E22" s="88"/>
      <c r="F22" s="31" t="inlineStr">
        <is>
          <r>
            <rPr>
              <rFont val="맑은 고딕"/>
              <sz val="11"/>
              <b val="1"/>
              <color rgb="FF006100"/>
            </rPr>
            <t xml:space="preserve">사운드 처리 주기는 </t>
          </r>
          <r>
            <rPr>
              <rFont val="맑은 고딕"/>
              <sz val="11"/>
              <b val="0"/>
              <color rgb="FF666666"/>
            </rPr>
            <t xml:space="preserve">1</t>
          </r>
          <r>
            <rPr>
              <rFont val="맑은 고딕"/>
              <sz val="11"/>
              <b val="1"/>
              <color rgb="FF006100"/>
            </rPr>
            <t xml:space="preserve">.00</t>
          </r>
          <r>
            <rPr>
              <rFont val="맑은 고딕"/>
              <sz val="11"/>
              <b val="0"/>
              <color rgb="FF666666"/>
            </rPr>
            <t xml:space="preserve">ms</t>
          </r>
          <r>
            <rPr>
              <rFont val="맑은 고딕"/>
              <sz val="11"/>
              <b val="1"/>
              <color rgb="FF006100"/>
            </rPr>
            <t xml:space="preserve">이며 허용 오차는 +/-5%(0.95~1.05ms)이다.</t>
          </r>
        </is>
      </c>
      <c r="G22" s="45" t="inlineStr">
        <is>
          <r>
            <rPr>
              <rFont val="맑은 고딕"/>
              <sz val="11"/>
              <b val="0"/>
              <color rgb="FF666666"/>
            </rPr>
            <t xml:space="preserve">SW-FW-RID-12</t>
          </r>
        </is>
      </c>
      <c r="H22" s="32" t="inlineStr">
        <is>
          <r>
            <rPr>
              <rFont val="맑은 고딕"/>
              <sz val="11"/>
              <b val="0"/>
              <color rgb="FF666666"/>
            </rPr>
            <t xml:space="preserve">SYS-RID-FW</t>
          </r>
          <r>
            <rPr>
              <rFont val="맑은 고딕"/>
              <sz val="11"/>
              <b val="1"/>
              <color rgb="FF006100"/>
            </rPr>
            <t xml:space="preserve">-</t>
          </r>
          <r>
            <rPr>
              <rFont val="맑은 고딕"/>
              <sz val="11"/>
              <b val="0"/>
              <color rgb="FF666666"/>
            </rPr>
            <t xml:space="preserve">1</t>
          </r>
          <r>
            <rPr>
              <rFont val="맑은 고딕"/>
              <sz val="11"/>
              <b val="1"/>
              <color rgb="FF006100"/>
            </rPr>
            <t xml:space="preserve">0</t>
          </r>
        </is>
      </c>
      <c r="I22" s="46"/>
    </row>
    <row r="23" spans="1:9" ht="33.950000000000003" customHeight="1">
      <c r="A23" s="27" t="s">
        <v>272</v>
      </c>
      <c r="B23" s="103"/>
      <c r="C23" s="49" t="s">
        <v>86</v>
      </c>
      <c r="D23" s="89" t="s">
        <v>87</v>
      </c>
      <c r="E23" s="91"/>
      <c r="F23" s="28" t="s">
        <v>88</v>
      </c>
      <c r="G23" s="43" t="s">
        <v>127</v>
      </c>
      <c r="H23" s="29" t="s">
        <v>284</v>
      </c>
      <c r="I23" s="44"/>
    </row>
    <row r="24" spans="1:9" ht="33.950000000000003" customHeight="1">
      <c r="A24" s="30" t="s">
        <v>273</v>
      </c>
      <c r="B24" s="103"/>
      <c r="C24" s="50"/>
      <c r="D24" s="87" t="s">
        <v>87</v>
      </c>
      <c r="E24" s="88"/>
      <c r="F24" s="31" t="s">
        <v>88</v>
      </c>
      <c r="G24" s="45" t="s">
        <v>127</v>
      </c>
      <c r="H24" s="32" t="s">
        <v>206</v>
      </c>
      <c r="I24" s="46"/>
    </row>
    <row r="25" spans="1:9" ht="47.1" customHeight="1">
      <c r="A25" s="27" t="s">
        <v>272</v>
      </c>
      <c r="B25" s="103"/>
      <c r="C25" s="50"/>
      <c r="D25" s="89" t="s">
        <v>66</v>
      </c>
      <c r="E25" s="91"/>
      <c r="F25" s="28" t="s">
        <v>81</v>
      </c>
      <c r="G25" s="43" t="s">
        <v>128</v>
      </c>
      <c r="H25" s="29" t="s">
        <v>285</v>
      </c>
      <c r="I25" s="44"/>
    </row>
    <row r="26" spans="1:9" ht="47.1" customHeight="1">
      <c r="A26" s="30" t="s">
        <v>273</v>
      </c>
      <c r="B26" s="104"/>
      <c r="C26" s="51"/>
      <c r="D26" s="87" t="s">
        <v>66</v>
      </c>
      <c r="E26" s="88"/>
      <c r="F26" s="31" t="s">
        <v>81</v>
      </c>
      <c r="G26" s="45" t="s">
        <v>128</v>
      </c>
      <c r="H26" s="32" t="s">
        <v>207</v>
      </c>
      <c r="I26" s="46"/>
    </row>
    <row r="27" spans="1:9" ht="60" customHeight="1">
      <c r="A27" s="27" t="s">
        <v>272</v>
      </c>
      <c r="B27" s="52" t="s">
        <v>67</v>
      </c>
      <c r="C27" s="49" t="s">
        <v>63</v>
      </c>
      <c r="D27" s="78" t="s">
        <v>16</v>
      </c>
      <c r="E27" s="79"/>
      <c r="F27" s="28" t="s">
        <v>286</v>
      </c>
      <c r="G27" s="43" t="s">
        <v>129</v>
      </c>
      <c r="H27" s="44"/>
      <c r="I27" s="44"/>
    </row>
    <row r="28" spans="1:9" ht="60" customHeight="1">
      <c r="A28" s="30" t="s">
        <v>273</v>
      </c>
      <c r="B28" s="53"/>
      <c r="C28" s="50"/>
      <c r="D28" s="80"/>
      <c r="E28" s="81"/>
      <c r="F28" s="31" t="s">
        <v>326</v>
      </c>
      <c r="G28" s="45" t="s">
        <v>129</v>
      </c>
      <c r="H28" s="46"/>
      <c r="I28" s="46"/>
    </row>
    <row r="29" spans="1:9" ht="39.950000000000003" customHeight="1">
      <c r="A29" s="26" t="s">
        <v>276</v>
      </c>
      <c r="B29" s="53"/>
      <c r="C29" s="50"/>
      <c r="D29" s="82"/>
      <c r="E29" s="83"/>
      <c r="F29" s="16" t="s">
        <v>287</v>
      </c>
      <c r="G29" s="17" t="s">
        <v>130</v>
      </c>
      <c r="H29" s="4"/>
      <c r="I29" s="4"/>
    </row>
    <row r="30" spans="1:9" ht="33.950000000000003" customHeight="1">
      <c r="A30" s="26" t="s">
        <v>276</v>
      </c>
      <c r="B30" s="53"/>
      <c r="C30" s="50"/>
      <c r="D30" s="67" t="s">
        <v>17</v>
      </c>
      <c r="E30" s="68"/>
      <c r="F30" s="16" t="s">
        <v>23</v>
      </c>
      <c r="G30" s="17" t="s">
        <v>131</v>
      </c>
      <c r="H30" s="4"/>
      <c r="I30" s="4"/>
    </row>
    <row r="31" spans="1:9" ht="33.950000000000003" customHeight="1">
      <c r="A31" s="26" t="s">
        <v>276</v>
      </c>
      <c r="B31" s="53"/>
      <c r="C31" s="51"/>
      <c r="D31" s="67" t="s">
        <v>25</v>
      </c>
      <c r="E31" s="68"/>
      <c r="F31" s="16" t="s">
        <v>58</v>
      </c>
      <c r="G31" s="17" t="s">
        <v>132</v>
      </c>
      <c r="H31" s="4"/>
      <c r="I31" s="4"/>
    </row>
    <row r="32" spans="1:9" ht="33.950000000000003" customHeight="1">
      <c r="A32" s="27" t="s">
        <v>272</v>
      </c>
      <c r="B32" s="53"/>
      <c r="C32" s="49" t="s">
        <v>41</v>
      </c>
      <c r="D32" s="89" t="s">
        <v>15</v>
      </c>
      <c r="E32" s="91"/>
      <c r="F32" s="28" t="s">
        <v>288</v>
      </c>
      <c r="G32" s="43" t="s">
        <v>133</v>
      </c>
      <c r="H32" s="44"/>
      <c r="I32" s="44"/>
    </row>
    <row r="33" spans="1:9" ht="33.950000000000003" customHeight="1">
      <c r="A33" s="30" t="s">
        <v>273</v>
      </c>
      <c r="B33" s="53"/>
      <c r="C33" s="50"/>
      <c r="D33" s="87" t="s">
        <v>15</v>
      </c>
      <c r="E33" s="88"/>
      <c r="F33" s="31" t="s">
        <v>208</v>
      </c>
      <c r="G33" s="45" t="s">
        <v>133</v>
      </c>
      <c r="H33" s="46"/>
      <c r="I33" s="46"/>
    </row>
    <row r="34" spans="1:9" ht="21" customHeight="1">
      <c r="A34" s="26" t="s">
        <v>276</v>
      </c>
      <c r="B34" s="53"/>
      <c r="C34" s="50"/>
      <c r="D34" s="49" t="s">
        <v>89</v>
      </c>
      <c r="E34" s="49" t="s">
        <v>75</v>
      </c>
      <c r="F34" s="16" t="s">
        <v>102</v>
      </c>
      <c r="G34" s="17" t="s">
        <v>134</v>
      </c>
      <c r="H34" s="6"/>
      <c r="I34" s="4"/>
    </row>
    <row r="35" spans="1:9" ht="21" customHeight="1">
      <c r="A35" s="26" t="s">
        <v>276</v>
      </c>
      <c r="B35" s="53"/>
      <c r="C35" s="50"/>
      <c r="D35" s="50"/>
      <c r="E35" s="50"/>
      <c r="F35" s="16" t="s">
        <v>103</v>
      </c>
      <c r="G35" s="17" t="s">
        <v>135</v>
      </c>
      <c r="H35" s="4"/>
      <c r="I35" s="4"/>
    </row>
    <row r="36" spans="1:9" ht="21" customHeight="1">
      <c r="A36" s="26" t="s">
        <v>276</v>
      </c>
      <c r="B36" s="53"/>
      <c r="C36" s="50"/>
      <c r="D36" s="50"/>
      <c r="E36" s="51"/>
      <c r="F36" s="16" t="s">
        <v>104</v>
      </c>
      <c r="G36" s="17" t="s">
        <v>136</v>
      </c>
      <c r="H36" s="11"/>
      <c r="I36" s="4"/>
    </row>
    <row r="37" spans="1:9" ht="33.950000000000003" customHeight="1">
      <c r="A37" s="26" t="s">
        <v>276</v>
      </c>
      <c r="B37" s="53"/>
      <c r="C37" s="51"/>
      <c r="D37" s="51"/>
      <c r="E37" s="14" t="s">
        <v>76</v>
      </c>
      <c r="F37" s="21" t="s">
        <v>105</v>
      </c>
      <c r="G37" s="17" t="s">
        <v>137</v>
      </c>
      <c r="H37" s="12"/>
      <c r="I37" s="4"/>
    </row>
    <row r="38" spans="1:9" ht="33.950000000000003" customHeight="1">
      <c r="A38" s="26" t="s">
        <v>276</v>
      </c>
      <c r="B38" s="53"/>
      <c r="C38" s="49" t="s">
        <v>43</v>
      </c>
      <c r="D38" s="78" t="s">
        <v>39</v>
      </c>
      <c r="E38" s="79"/>
      <c r="F38" s="16" t="s">
        <v>29</v>
      </c>
      <c r="G38" s="17" t="s">
        <v>138</v>
      </c>
      <c r="H38" s="6"/>
      <c r="I38" s="6"/>
    </row>
    <row r="39" spans="1:9" ht="21" customHeight="1">
      <c r="A39" s="26" t="s">
        <v>276</v>
      </c>
      <c r="B39" s="53"/>
      <c r="C39" s="50"/>
      <c r="D39" s="80"/>
      <c r="E39" s="81"/>
      <c r="F39" s="16" t="s">
        <v>30</v>
      </c>
      <c r="G39" s="17" t="s">
        <v>139</v>
      </c>
      <c r="H39" s="6"/>
      <c r="I39" s="6"/>
    </row>
    <row r="40" spans="1:9" ht="21" customHeight="1">
      <c r="A40" s="26" t="s">
        <v>276</v>
      </c>
      <c r="B40" s="53"/>
      <c r="C40" s="50"/>
      <c r="D40" s="80"/>
      <c r="E40" s="81"/>
      <c r="F40" s="16" t="s">
        <v>31</v>
      </c>
      <c r="G40" s="17" t="s">
        <v>140</v>
      </c>
      <c r="H40" s="6"/>
      <c r="I40" s="6"/>
    </row>
    <row r="41" spans="1:9" ht="21" customHeight="1">
      <c r="A41" s="26" t="s">
        <v>276</v>
      </c>
      <c r="B41" s="53"/>
      <c r="C41" s="50"/>
      <c r="D41" s="80"/>
      <c r="E41" s="81"/>
      <c r="F41" s="16" t="s">
        <v>33</v>
      </c>
      <c r="G41" s="17" t="s">
        <v>141</v>
      </c>
      <c r="H41" s="6"/>
      <c r="I41" s="6"/>
    </row>
    <row r="42" spans="1:9" ht="21" customHeight="1">
      <c r="A42" s="26" t="s">
        <v>276</v>
      </c>
      <c r="B42" s="53"/>
      <c r="C42" s="50"/>
      <c r="D42" s="82"/>
      <c r="E42" s="83"/>
      <c r="F42" s="16" t="s">
        <v>32</v>
      </c>
      <c r="G42" s="17" t="s">
        <v>142</v>
      </c>
      <c r="H42" s="6"/>
      <c r="I42" s="6"/>
    </row>
    <row r="43" spans="1:9" ht="33.950000000000003" customHeight="1">
      <c r="A43" s="26" t="s">
        <v>276</v>
      </c>
      <c r="B43" s="53"/>
      <c r="C43" s="50"/>
      <c r="D43" s="78" t="s">
        <v>40</v>
      </c>
      <c r="E43" s="79"/>
      <c r="F43" s="16" t="s">
        <v>34</v>
      </c>
      <c r="G43" s="17" t="s">
        <v>143</v>
      </c>
      <c r="H43" s="6"/>
      <c r="I43" s="6"/>
    </row>
    <row r="44" spans="1:9" ht="21" customHeight="1">
      <c r="A44" s="26" t="s">
        <v>276</v>
      </c>
      <c r="B44" s="53"/>
      <c r="C44" s="50"/>
      <c r="D44" s="80"/>
      <c r="E44" s="81"/>
      <c r="F44" s="16" t="s">
        <v>42</v>
      </c>
      <c r="G44" s="17" t="s">
        <v>144</v>
      </c>
      <c r="H44" s="6"/>
      <c r="I44" s="6"/>
    </row>
    <row r="45" spans="1:9" ht="21" customHeight="1">
      <c r="A45" s="26" t="s">
        <v>276</v>
      </c>
      <c r="B45" s="53"/>
      <c r="C45" s="50"/>
      <c r="D45" s="80"/>
      <c r="E45" s="81"/>
      <c r="F45" s="16" t="s">
        <v>35</v>
      </c>
      <c r="G45" s="17" t="s">
        <v>145</v>
      </c>
      <c r="H45" s="6"/>
      <c r="I45" s="6"/>
    </row>
    <row r="46" spans="1:9" ht="21" customHeight="1">
      <c r="A46" s="26" t="s">
        <v>276</v>
      </c>
      <c r="B46" s="53"/>
      <c r="C46" s="50"/>
      <c r="D46" s="80"/>
      <c r="E46" s="81"/>
      <c r="F46" s="16" t="s">
        <v>36</v>
      </c>
      <c r="G46" s="17" t="s">
        <v>146</v>
      </c>
      <c r="H46" s="6"/>
      <c r="I46" s="6"/>
    </row>
    <row r="47" spans="1:9" ht="21" customHeight="1">
      <c r="A47" s="26" t="s">
        <v>276</v>
      </c>
      <c r="B47" s="53"/>
      <c r="C47" s="50"/>
      <c r="D47" s="80"/>
      <c r="E47" s="81"/>
      <c r="F47" s="16" t="s">
        <v>37</v>
      </c>
      <c r="G47" s="17" t="s">
        <v>147</v>
      </c>
      <c r="H47" s="6"/>
      <c r="I47" s="6"/>
    </row>
    <row r="48" spans="1:9" ht="21" customHeight="1">
      <c r="A48" s="26" t="s">
        <v>276</v>
      </c>
      <c r="B48" s="53"/>
      <c r="C48" s="51"/>
      <c r="D48" s="82"/>
      <c r="E48" s="83"/>
      <c r="F48" s="16" t="s">
        <v>38</v>
      </c>
      <c r="G48" s="17" t="s">
        <v>148</v>
      </c>
      <c r="H48" s="6"/>
      <c r="I48" s="6"/>
    </row>
    <row r="49" spans="1:9" ht="33.950000000000003" customHeight="1">
      <c r="A49" s="26" t="s">
        <v>276</v>
      </c>
      <c r="B49" s="53"/>
      <c r="C49" s="49" t="s">
        <v>93</v>
      </c>
      <c r="D49" s="78" t="s">
        <v>39</v>
      </c>
      <c r="E49" s="79"/>
      <c r="F49" s="16" t="s">
        <v>99</v>
      </c>
      <c r="G49" s="17" t="s">
        <v>149</v>
      </c>
      <c r="H49" s="6"/>
      <c r="I49" s="6"/>
    </row>
    <row r="50" spans="1:9" ht="21" customHeight="1">
      <c r="A50" s="26" t="s">
        <v>276</v>
      </c>
      <c r="B50" s="53"/>
      <c r="C50" s="50"/>
      <c r="D50" s="80"/>
      <c r="E50" s="81"/>
      <c r="F50" s="16" t="s">
        <v>95</v>
      </c>
      <c r="G50" s="17" t="s">
        <v>150</v>
      </c>
      <c r="H50" s="6"/>
      <c r="I50" s="6"/>
    </row>
    <row r="51" spans="1:9" ht="21" customHeight="1">
      <c r="A51" s="26" t="s">
        <v>276</v>
      </c>
      <c r="B51" s="53"/>
      <c r="C51" s="50"/>
      <c r="D51" s="82"/>
      <c r="E51" s="83"/>
      <c r="F51" s="16" t="s">
        <v>100</v>
      </c>
      <c r="G51" s="17" t="s">
        <v>151</v>
      </c>
      <c r="H51" s="6"/>
      <c r="I51" s="6"/>
    </row>
    <row r="52" spans="1:9" ht="33.950000000000003" customHeight="1">
      <c r="A52" s="26" t="s">
        <v>276</v>
      </c>
      <c r="B52" s="53"/>
      <c r="C52" s="50"/>
      <c r="D52" s="78" t="s">
        <v>40</v>
      </c>
      <c r="E52" s="79"/>
      <c r="F52" s="16" t="s">
        <v>94</v>
      </c>
      <c r="G52" s="17" t="s">
        <v>152</v>
      </c>
      <c r="H52" s="6"/>
      <c r="I52" s="6"/>
    </row>
    <row r="53" spans="1:9" ht="21" customHeight="1">
      <c r="A53" s="26" t="s">
        <v>276</v>
      </c>
      <c r="B53" s="53"/>
      <c r="C53" s="50"/>
      <c r="D53" s="80"/>
      <c r="E53" s="81"/>
      <c r="F53" s="16" t="s">
        <v>96</v>
      </c>
      <c r="G53" s="17" t="s">
        <v>153</v>
      </c>
      <c r="H53" s="6"/>
      <c r="I53" s="6"/>
    </row>
    <row r="54" spans="1:9" ht="21" customHeight="1">
      <c r="A54" s="26" t="s">
        <v>276</v>
      </c>
      <c r="B54" s="53"/>
      <c r="C54" s="51"/>
      <c r="D54" s="82"/>
      <c r="E54" s="83"/>
      <c r="F54" s="16" t="s">
        <v>97</v>
      </c>
      <c r="G54" s="17" t="s">
        <v>154</v>
      </c>
      <c r="H54" s="6"/>
      <c r="I54" s="6"/>
    </row>
    <row r="55" spans="1:9" ht="33.950000000000003" customHeight="1">
      <c r="A55" s="26" t="s">
        <v>276</v>
      </c>
      <c r="B55" s="53"/>
      <c r="C55" s="49" t="s">
        <v>18</v>
      </c>
      <c r="D55" s="67" t="s">
        <v>27</v>
      </c>
      <c r="E55" s="68"/>
      <c r="F55" s="16" t="s">
        <v>26</v>
      </c>
      <c r="G55" s="17" t="s">
        <v>155</v>
      </c>
      <c r="H55" s="4"/>
      <c r="I55" s="4"/>
    </row>
    <row r="56" spans="1:9" ht="39.950000000000003" customHeight="1">
      <c r="A56" s="27" t="s">
        <v>272</v>
      </c>
      <c r="B56" s="53"/>
      <c r="C56" s="50"/>
      <c r="D56" s="89" t="s">
        <v>28</v>
      </c>
      <c r="E56" s="91"/>
      <c r="F56" s="28" t="s">
        <v>289</v>
      </c>
      <c r="G56" s="43" t="s">
        <v>156</v>
      </c>
      <c r="H56" s="44"/>
      <c r="I56" s="44"/>
    </row>
    <row r="57" spans="1:9" ht="39.950000000000003" customHeight="1">
      <c r="A57" s="30" t="s">
        <v>273</v>
      </c>
      <c r="B57" s="53"/>
      <c r="C57" s="50"/>
      <c r="D57" s="87" t="s">
        <v>28</v>
      </c>
      <c r="E57" s="88"/>
      <c r="F57" s="31" t="s">
        <v>327</v>
      </c>
      <c r="G57" s="45" t="s">
        <v>156</v>
      </c>
      <c r="H57" s="46"/>
      <c r="I57" s="46"/>
    </row>
    <row r="58" spans="1:9" ht="33.950000000000003" customHeight="1">
      <c r="A58" s="26" t="s">
        <v>276</v>
      </c>
      <c r="B58" s="54"/>
      <c r="C58" s="51"/>
      <c r="D58" s="67" t="s">
        <v>90</v>
      </c>
      <c r="E58" s="68"/>
      <c r="F58" s="16" t="s">
        <v>91</v>
      </c>
      <c r="G58" s="17" t="s">
        <v>157</v>
      </c>
      <c r="H58" s="4"/>
      <c r="I58" s="4"/>
    </row>
    <row r="59" spans="1:9" ht="86.1" customHeight="1">
      <c r="A59" s="27" t="s">
        <v>272</v>
      </c>
      <c r="B59" s="52" t="s">
        <v>49</v>
      </c>
      <c r="C59" s="89" t="s">
        <v>19</v>
      </c>
      <c r="D59" s="90"/>
      <c r="E59" s="91"/>
      <c r="F59" s="28" t="s">
        <v>92</v>
      </c>
      <c r="G59" s="43" t="s">
        <v>158</v>
      </c>
      <c r="H59" s="29" t="s">
        <v>290</v>
      </c>
      <c r="I59" s="44"/>
    </row>
    <row r="60" spans="1:9" ht="86.1" customHeight="1">
      <c r="A60" s="30" t="s">
        <v>273</v>
      </c>
      <c r="B60" s="53"/>
      <c r="C60" s="87" t="s">
        <v>19</v>
      </c>
      <c r="D60" s="92"/>
      <c r="E60" s="88"/>
      <c r="F60" s="31" t="s">
        <v>328</v>
      </c>
      <c r="G60" s="45" t="s">
        <v>158</v>
      </c>
      <c r="H60" s="32" t="s">
        <v>209</v>
      </c>
      <c r="I60" s="46"/>
    </row>
    <row r="61" spans="1:9" ht="54.95" customHeight="1">
      <c r="A61" s="27" t="s">
        <v>272</v>
      </c>
      <c r="B61" s="53"/>
      <c r="C61" s="89" t="s">
        <v>98</v>
      </c>
      <c r="D61" s="90"/>
      <c r="E61" s="91"/>
      <c r="F61" s="28" t="s">
        <v>92</v>
      </c>
      <c r="G61" s="43" t="s">
        <v>159</v>
      </c>
      <c r="H61" s="29" t="s">
        <v>291</v>
      </c>
      <c r="I61" s="44"/>
    </row>
    <row r="62" spans="1:9" ht="54.95" customHeight="1">
      <c r="A62" s="30" t="s">
        <v>273</v>
      </c>
      <c r="B62" s="53"/>
      <c r="C62" s="87" t="s">
        <v>98</v>
      </c>
      <c r="D62" s="92"/>
      <c r="E62" s="88"/>
      <c r="F62" s="31" t="s">
        <v>329</v>
      </c>
      <c r="G62" s="45" t="s">
        <v>159</v>
      </c>
      <c r="H62" s="32" t="s">
        <v>210</v>
      </c>
      <c r="I62" s="46"/>
    </row>
    <row r="63" spans="1:9" ht="95.1" customHeight="1">
      <c r="A63" s="30" t="s">
        <v>273</v>
      </c>
      <c r="B63" s="53"/>
      <c r="C63" s="55" t="s">
        <v>211</v>
      </c>
      <c r="D63" s="56"/>
      <c r="E63" s="57"/>
      <c r="F63" s="35" t="s">
        <v>330</v>
      </c>
      <c r="G63" s="45" t="s">
        <v>183</v>
      </c>
      <c r="H63" s="32" t="s">
        <v>212</v>
      </c>
      <c r="I63" s="46"/>
    </row>
    <row r="64" spans="1:9" ht="95.1" customHeight="1">
      <c r="A64" s="30" t="s">
        <v>273</v>
      </c>
      <c r="B64" s="54"/>
      <c r="C64" s="61"/>
      <c r="D64" s="62"/>
      <c r="E64" s="63"/>
      <c r="F64" s="35" t="s">
        <v>331</v>
      </c>
      <c r="G64" s="45" t="s">
        <v>184</v>
      </c>
      <c r="H64" s="32" t="s">
        <v>213</v>
      </c>
      <c r="I64" s="46"/>
    </row>
    <row r="65" spans="1:9" ht="86.1" customHeight="1">
      <c r="A65" s="26" t="s">
        <v>276</v>
      </c>
      <c r="B65" s="20" t="s">
        <v>50</v>
      </c>
      <c r="C65" s="75" t="s">
        <v>46</v>
      </c>
      <c r="D65" s="76"/>
      <c r="E65" s="77"/>
      <c r="F65" s="7"/>
      <c r="G65" s="4"/>
      <c r="H65" s="4"/>
      <c r="I65" s="4"/>
    </row>
    <row r="66" spans="1:9" ht="72.95" customHeight="1">
      <c r="A66" s="27" t="s">
        <v>272</v>
      </c>
      <c r="B66" s="52" t="s">
        <v>68</v>
      </c>
      <c r="C66" s="78" t="s">
        <v>74</v>
      </c>
      <c r="D66" s="84"/>
      <c r="E66" s="79"/>
      <c r="F66" s="28" t="s">
        <v>292</v>
      </c>
      <c r="G66" s="43" t="s">
        <v>160</v>
      </c>
      <c r="H66" s="36" t="s">
        <v>293</v>
      </c>
      <c r="I66" s="44"/>
    </row>
    <row r="67" spans="1:9" ht="72.95" customHeight="1">
      <c r="A67" s="30" t="s">
        <v>273</v>
      </c>
      <c r="B67" s="53"/>
      <c r="C67" s="80"/>
      <c r="D67" s="85"/>
      <c r="E67" s="81"/>
      <c r="F67" s="31" t="s">
        <v>292</v>
      </c>
      <c r="G67" s="45" t="s">
        <v>160</v>
      </c>
      <c r="H67" s="37" t="s">
        <v>214</v>
      </c>
      <c r="I67" s="46"/>
    </row>
    <row r="68" spans="1:9" ht="54.95" customHeight="1">
      <c r="A68" s="27" t="s">
        <v>272</v>
      </c>
      <c r="B68" s="53"/>
      <c r="C68" s="80"/>
      <c r="D68" s="85"/>
      <c r="E68" s="81"/>
      <c r="F68" s="28" t="s">
        <v>294</v>
      </c>
      <c r="G68" s="43" t="s">
        <v>161</v>
      </c>
      <c r="H68" s="29" t="s">
        <v>295</v>
      </c>
      <c r="I68" s="44"/>
    </row>
    <row r="69" spans="1:9" ht="54.95" customHeight="1">
      <c r="A69" s="30" t="s">
        <v>273</v>
      </c>
      <c r="B69" s="53"/>
      <c r="C69" s="80"/>
      <c r="D69" s="85"/>
      <c r="E69" s="81"/>
      <c r="F69" s="31" t="s">
        <v>332</v>
      </c>
      <c r="G69" s="45" t="s">
        <v>161</v>
      </c>
      <c r="H69" s="32" t="s">
        <v>215</v>
      </c>
      <c r="I69" s="46"/>
    </row>
    <row r="70" spans="1:9" ht="84.95" customHeight="1">
      <c r="A70" s="27" t="s">
        <v>272</v>
      </c>
      <c r="B70" s="53"/>
      <c r="C70" s="80"/>
      <c r="D70" s="85"/>
      <c r="E70" s="81"/>
      <c r="F70" s="28" t="s">
        <v>296</v>
      </c>
      <c r="G70" s="43" t="s">
        <v>162</v>
      </c>
      <c r="H70" s="29" t="s">
        <v>297</v>
      </c>
      <c r="I70" s="44"/>
    </row>
    <row r="71" spans="1:9" ht="84.95" customHeight="1">
      <c r="A71" s="30" t="s">
        <v>273</v>
      </c>
      <c r="B71" s="53"/>
      <c r="C71" s="80"/>
      <c r="D71" s="85"/>
      <c r="E71" s="81"/>
      <c r="F71" s="31" t="s">
        <v>333</v>
      </c>
      <c r="G71" s="45" t="s">
        <v>162</v>
      </c>
      <c r="H71" s="32" t="s">
        <v>216</v>
      </c>
      <c r="I71" s="46"/>
    </row>
    <row r="72" spans="1:9" ht="129.94999999999999" customHeight="1">
      <c r="A72" s="27" t="s">
        <v>272</v>
      </c>
      <c r="B72" s="53"/>
      <c r="C72" s="80"/>
      <c r="D72" s="85"/>
      <c r="E72" s="81"/>
      <c r="F72" s="28" t="s">
        <v>298</v>
      </c>
      <c r="G72" s="43" t="s">
        <v>163</v>
      </c>
      <c r="H72" s="29" t="s">
        <v>299</v>
      </c>
      <c r="I72" s="44"/>
    </row>
    <row r="73" spans="1:9" ht="129.94999999999999" customHeight="1">
      <c r="A73" s="30" t="s">
        <v>273</v>
      </c>
      <c r="B73" s="53"/>
      <c r="C73" s="80"/>
      <c r="D73" s="85"/>
      <c r="E73" s="81"/>
      <c r="F73" s="31" t="s">
        <v>334</v>
      </c>
      <c r="G73" s="45" t="s">
        <v>163</v>
      </c>
      <c r="H73" s="32" t="s">
        <v>217</v>
      </c>
      <c r="I73" s="46"/>
    </row>
    <row r="74" spans="1:9" ht="33.950000000000003" customHeight="1">
      <c r="A74" s="27" t="s">
        <v>272</v>
      </c>
      <c r="B74" s="53"/>
      <c r="C74" s="80"/>
      <c r="D74" s="85"/>
      <c r="E74" s="81"/>
      <c r="F74" s="28" t="s">
        <v>300</v>
      </c>
      <c r="G74" s="43" t="s">
        <v>164</v>
      </c>
      <c r="H74" s="29" t="s">
        <v>301</v>
      </c>
      <c r="I74" s="44"/>
    </row>
    <row r="75" spans="1:9" ht="33.950000000000003" customHeight="1">
      <c r="A75" s="30" t="s">
        <v>273</v>
      </c>
      <c r="B75" s="53"/>
      <c r="C75" s="80"/>
      <c r="D75" s="85"/>
      <c r="E75" s="81"/>
      <c r="F75" s="31" t="s">
        <v>218</v>
      </c>
      <c r="G75" s="45" t="s">
        <v>164</v>
      </c>
      <c r="H75" s="32" t="s">
        <v>219</v>
      </c>
      <c r="I75" s="46"/>
    </row>
    <row r="76" spans="1:9" ht="33.950000000000003" customHeight="1">
      <c r="A76" s="27" t="s">
        <v>272</v>
      </c>
      <c r="B76" s="53"/>
      <c r="C76" s="80"/>
      <c r="D76" s="85"/>
      <c r="E76" s="81"/>
      <c r="F76" s="28" t="s">
        <v>302</v>
      </c>
      <c r="G76" s="43" t="s">
        <v>165</v>
      </c>
      <c r="H76" s="29" t="s">
        <v>303</v>
      </c>
      <c r="I76" s="44"/>
    </row>
    <row r="77" spans="1:9" ht="33.950000000000003" customHeight="1">
      <c r="A77" s="30" t="s">
        <v>273</v>
      </c>
      <c r="B77" s="53"/>
      <c r="C77" s="80"/>
      <c r="D77" s="85"/>
      <c r="E77" s="81"/>
      <c r="F77" s="31" t="s">
        <v>220</v>
      </c>
      <c r="G77" s="45" t="s">
        <v>165</v>
      </c>
      <c r="H77" s="32" t="s">
        <v>221</v>
      </c>
      <c r="I77" s="46"/>
    </row>
    <row r="78" spans="1:9" ht="114.95" customHeight="1">
      <c r="A78" s="27" t="s">
        <v>272</v>
      </c>
      <c r="B78" s="53"/>
      <c r="C78" s="80"/>
      <c r="D78" s="85"/>
      <c r="E78" s="81"/>
      <c r="F78" s="28" t="s">
        <v>304</v>
      </c>
      <c r="G78" s="43" t="s">
        <v>166</v>
      </c>
      <c r="H78" s="29" t="s">
        <v>305</v>
      </c>
      <c r="I78" s="44"/>
    </row>
    <row r="79" spans="1:9" ht="114.95" customHeight="1">
      <c r="A79" s="30" t="s">
        <v>273</v>
      </c>
      <c r="B79" s="53"/>
      <c r="C79" s="80"/>
      <c r="D79" s="85"/>
      <c r="E79" s="81"/>
      <c r="F79" s="31" t="s">
        <v>335</v>
      </c>
      <c r="G79" s="45" t="s">
        <v>166</v>
      </c>
      <c r="H79" s="32" t="s">
        <v>222</v>
      </c>
      <c r="I79" s="46"/>
    </row>
    <row r="80" spans="1:9" ht="72.95" customHeight="1">
      <c r="A80" s="27" t="s">
        <v>272</v>
      </c>
      <c r="B80" s="53"/>
      <c r="C80" s="80"/>
      <c r="D80" s="85"/>
      <c r="E80" s="81"/>
      <c r="F80" s="28" t="s">
        <v>306</v>
      </c>
      <c r="G80" s="43" t="s">
        <v>167</v>
      </c>
      <c r="H80" s="29" t="s">
        <v>307</v>
      </c>
      <c r="I80" s="44"/>
    </row>
    <row r="81" spans="1:9" ht="72.95" customHeight="1">
      <c r="A81" s="30" t="s">
        <v>273</v>
      </c>
      <c r="B81" s="53"/>
      <c r="C81" s="80"/>
      <c r="D81" s="85"/>
      <c r="E81" s="81"/>
      <c r="F81" s="31" t="s">
        <v>336</v>
      </c>
      <c r="G81" s="45" t="s">
        <v>167</v>
      </c>
      <c r="H81" s="32" t="s">
        <v>337</v>
      </c>
      <c r="I81" s="46"/>
    </row>
    <row r="82" spans="1:9" ht="72.95" customHeight="1">
      <c r="A82" s="30" t="s">
        <v>273</v>
      </c>
      <c r="B82" s="53"/>
      <c r="C82" s="80"/>
      <c r="D82" s="85"/>
      <c r="E82" s="81"/>
      <c r="F82" s="31" t="s">
        <v>338</v>
      </c>
      <c r="G82" s="45" t="s">
        <v>344</v>
      </c>
      <c r="H82" s="32" t="s">
        <v>339</v>
      </c>
      <c r="I82" s="46"/>
    </row>
    <row r="83" spans="1:9" ht="60" customHeight="1">
      <c r="A83" s="27" t="s">
        <v>272</v>
      </c>
      <c r="B83" s="53"/>
      <c r="C83" s="80"/>
      <c r="D83" s="85"/>
      <c r="E83" s="81"/>
      <c r="F83" s="28" t="s">
        <v>308</v>
      </c>
      <c r="G83" s="43" t="s">
        <v>168</v>
      </c>
      <c r="H83" s="29" t="s">
        <v>309</v>
      </c>
      <c r="I83" s="44"/>
    </row>
    <row r="84" spans="1:9" ht="60" customHeight="1">
      <c r="A84" s="30" t="s">
        <v>273</v>
      </c>
      <c r="B84" s="53"/>
      <c r="C84" s="80"/>
      <c r="D84" s="85"/>
      <c r="E84" s="81"/>
      <c r="F84" s="31" t="s">
        <v>223</v>
      </c>
      <c r="G84" s="45" t="s">
        <v>168</v>
      </c>
      <c r="H84" s="32" t="s">
        <v>224</v>
      </c>
      <c r="I84" s="46"/>
    </row>
    <row r="85" spans="1:9" ht="95.1" customHeight="1">
      <c r="A85" s="30" t="s">
        <v>273</v>
      </c>
      <c r="B85" s="53"/>
      <c r="C85" s="80"/>
      <c r="D85" s="85"/>
      <c r="E85" s="81"/>
      <c r="F85" s="35" t="s">
        <v>340</v>
      </c>
      <c r="G85" s="45" t="s">
        <v>185</v>
      </c>
      <c r="H85" s="32" t="s">
        <v>225</v>
      </c>
      <c r="I85" s="46"/>
    </row>
    <row r="86" spans="1:9" ht="95.1" customHeight="1">
      <c r="A86" s="30" t="s">
        <v>273</v>
      </c>
      <c r="B86" s="53"/>
      <c r="C86" s="80"/>
      <c r="D86" s="85"/>
      <c r="E86" s="81"/>
      <c r="F86" s="35" t="s">
        <v>341</v>
      </c>
      <c r="G86" s="45" t="s">
        <v>186</v>
      </c>
      <c r="H86" s="32" t="s">
        <v>226</v>
      </c>
      <c r="I86" s="46"/>
    </row>
    <row r="87" spans="1:9" ht="95.1" customHeight="1">
      <c r="A87" s="30" t="s">
        <v>273</v>
      </c>
      <c r="B87" s="53"/>
      <c r="C87" s="80"/>
      <c r="D87" s="85"/>
      <c r="E87" s="81"/>
      <c r="F87" s="35" t="s">
        <v>227</v>
      </c>
      <c r="G87" s="45" t="s">
        <v>187</v>
      </c>
      <c r="H87" s="32" t="s">
        <v>228</v>
      </c>
      <c r="I87" s="46"/>
    </row>
    <row r="88" spans="1:9" ht="95.1" customHeight="1">
      <c r="A88" s="30" t="s">
        <v>273</v>
      </c>
      <c r="B88" s="53"/>
      <c r="C88" s="80"/>
      <c r="D88" s="85"/>
      <c r="E88" s="81"/>
      <c r="F88" s="35" t="s">
        <v>229</v>
      </c>
      <c r="G88" s="45" t="s">
        <v>188</v>
      </c>
      <c r="H88" s="32" t="s">
        <v>230</v>
      </c>
      <c r="I88" s="46"/>
    </row>
    <row r="89" spans="1:9" ht="95.1" customHeight="1">
      <c r="A89" s="30" t="s">
        <v>273</v>
      </c>
      <c r="B89" s="53"/>
      <c r="C89" s="80"/>
      <c r="D89" s="85"/>
      <c r="E89" s="81"/>
      <c r="F89" s="35" t="s">
        <v>231</v>
      </c>
      <c r="G89" s="45" t="s">
        <v>189</v>
      </c>
      <c r="H89" s="32" t="s">
        <v>232</v>
      </c>
      <c r="I89" s="46"/>
    </row>
    <row r="90" spans="1:9" ht="95.1" customHeight="1">
      <c r="A90" s="30" t="s">
        <v>273</v>
      </c>
      <c r="B90" s="53"/>
      <c r="C90" s="80"/>
      <c r="D90" s="85"/>
      <c r="E90" s="81"/>
      <c r="F90" s="35" t="s">
        <v>342</v>
      </c>
      <c r="G90" s="45" t="s">
        <v>190</v>
      </c>
      <c r="H90" s="32" t="s">
        <v>233</v>
      </c>
      <c r="I90" s="46"/>
    </row>
    <row r="91" spans="1:9" ht="95.1" customHeight="1">
      <c r="A91" s="30" t="s">
        <v>273</v>
      </c>
      <c r="B91" s="53"/>
      <c r="C91" s="80"/>
      <c r="D91" s="85"/>
      <c r="E91" s="81"/>
      <c r="F91" s="35" t="s">
        <v>234</v>
      </c>
      <c r="G91" s="45" t="s">
        <v>191</v>
      </c>
      <c r="H91" s="32" t="s">
        <v>235</v>
      </c>
      <c r="I91" s="46"/>
    </row>
    <row r="92" spans="1:9" ht="95.1" customHeight="1">
      <c r="A92" s="30" t="s">
        <v>273</v>
      </c>
      <c r="B92" s="53"/>
      <c r="C92" s="80"/>
      <c r="D92" s="85"/>
      <c r="E92" s="81"/>
      <c r="F92" s="35" t="s">
        <v>236</v>
      </c>
      <c r="G92" s="45" t="s">
        <v>192</v>
      </c>
      <c r="H92" s="32" t="s">
        <v>237</v>
      </c>
      <c r="I92" s="46"/>
    </row>
    <row r="93" spans="1:9" ht="95.1" customHeight="1">
      <c r="A93" s="30" t="s">
        <v>273</v>
      </c>
      <c r="B93" s="53"/>
      <c r="C93" s="80"/>
      <c r="D93" s="85"/>
      <c r="E93" s="81"/>
      <c r="F93" s="35" t="s">
        <v>238</v>
      </c>
      <c r="G93" s="45" t="s">
        <v>193</v>
      </c>
      <c r="H93" s="32" t="s">
        <v>239</v>
      </c>
      <c r="I93" s="46"/>
    </row>
    <row r="94" spans="1:9" ht="95.1" customHeight="1">
      <c r="A94" s="30" t="s">
        <v>273</v>
      </c>
      <c r="B94" s="54"/>
      <c r="C94" s="82"/>
      <c r="D94" s="86"/>
      <c r="E94" s="83"/>
      <c r="F94" s="35" t="s">
        <v>240</v>
      </c>
      <c r="G94" s="45" t="s">
        <v>194</v>
      </c>
      <c r="H94" s="32" t="s">
        <v>241</v>
      </c>
      <c r="I94" s="46"/>
    </row>
    <row r="95" spans="1:9" ht="125.1" customHeight="1">
      <c r="A95" s="27" t="s">
        <v>272</v>
      </c>
      <c r="B95" s="105" t="s">
        <v>51</v>
      </c>
      <c r="C95" s="69" t="s">
        <v>242</v>
      </c>
      <c r="D95" s="70"/>
      <c r="E95" s="71"/>
      <c r="F95" s="38" t="s">
        <v>310</v>
      </c>
      <c r="G95" s="43" t="s">
        <v>169</v>
      </c>
      <c r="H95" s="29" t="s">
        <v>311</v>
      </c>
      <c r="I95" s="44"/>
    </row>
    <row r="96" spans="1:9" ht="125.1" customHeight="1">
      <c r="A96" s="30" t="s">
        <v>273</v>
      </c>
      <c r="B96" s="106"/>
      <c r="C96" s="72" t="s">
        <v>242</v>
      </c>
      <c r="D96" s="73"/>
      <c r="E96" s="74"/>
      <c r="F96" s="35" t="s">
        <v>243</v>
      </c>
      <c r="G96" s="45" t="s">
        <v>169</v>
      </c>
      <c r="H96" s="32" t="s">
        <v>244</v>
      </c>
      <c r="I96" s="46"/>
    </row>
    <row r="97" spans="1:9" ht="57.95" customHeight="1">
      <c r="A97" s="27" t="s">
        <v>272</v>
      </c>
      <c r="B97" s="106"/>
      <c r="C97" s="69" t="s">
        <v>77</v>
      </c>
      <c r="D97" s="70"/>
      <c r="E97" s="71"/>
      <c r="F97" s="38" t="s">
        <v>312</v>
      </c>
      <c r="G97" s="43" t="s">
        <v>170</v>
      </c>
      <c r="H97" s="29" t="s">
        <v>313</v>
      </c>
      <c r="I97" s="44"/>
    </row>
    <row r="98" spans="1:9" ht="57.95" customHeight="1">
      <c r="A98" s="30" t="s">
        <v>273</v>
      </c>
      <c r="B98" s="107"/>
      <c r="C98" s="72" t="s">
        <v>77</v>
      </c>
      <c r="D98" s="73"/>
      <c r="E98" s="74"/>
      <c r="F98" s="35" t="s">
        <v>245</v>
      </c>
      <c r="G98" s="45" t="s">
        <v>170</v>
      </c>
      <c r="H98" s="32" t="s">
        <v>246</v>
      </c>
      <c r="I98" s="46"/>
    </row>
    <row r="99" spans="1:9" ht="86.1" customHeight="1">
      <c r="A99" s="26" t="s">
        <v>276</v>
      </c>
      <c r="B99" s="23" t="s">
        <v>52</v>
      </c>
      <c r="C99" s="75" t="s">
        <v>46</v>
      </c>
      <c r="D99" s="76"/>
      <c r="E99" s="77"/>
      <c r="F99" s="7"/>
      <c r="G99" s="4"/>
      <c r="H99" s="4"/>
      <c r="I99" s="4"/>
    </row>
    <row r="100" spans="1:9" ht="192" customHeight="1">
      <c r="A100" s="26" t="s">
        <v>276</v>
      </c>
      <c r="B100" s="24" t="s">
        <v>53</v>
      </c>
      <c r="C100" s="75" t="s">
        <v>46</v>
      </c>
      <c r="D100" s="76"/>
      <c r="E100" s="77"/>
      <c r="F100" s="7"/>
      <c r="G100" s="4"/>
      <c r="H100" s="4"/>
      <c r="I100" s="4"/>
    </row>
    <row r="101" spans="1:9" ht="99" customHeight="1">
      <c r="A101" s="26" t="s">
        <v>276</v>
      </c>
      <c r="B101" s="23" t="s">
        <v>54</v>
      </c>
      <c r="C101" s="75" t="s">
        <v>46</v>
      </c>
      <c r="D101" s="76"/>
      <c r="E101" s="77"/>
      <c r="F101" s="7"/>
      <c r="G101" s="4"/>
      <c r="H101" s="4"/>
      <c r="I101" s="4"/>
    </row>
    <row r="102" spans="1:9" ht="60" customHeight="1">
      <c r="A102" s="26" t="s">
        <v>276</v>
      </c>
      <c r="B102" s="23" t="s">
        <v>55</v>
      </c>
      <c r="C102" s="64" t="s">
        <v>46</v>
      </c>
      <c r="D102" s="65"/>
      <c r="E102" s="66"/>
      <c r="F102" s="7"/>
      <c r="G102" s="4"/>
      <c r="H102" s="4"/>
      <c r="I102" s="4"/>
    </row>
    <row r="103" spans="1:9" ht="63.95" customHeight="1">
      <c r="A103" s="26" t="s">
        <v>276</v>
      </c>
      <c r="B103" s="23" t="s">
        <v>56</v>
      </c>
      <c r="C103" s="64" t="s">
        <v>46</v>
      </c>
      <c r="D103" s="65"/>
      <c r="E103" s="66"/>
      <c r="F103" s="7"/>
      <c r="G103" s="4"/>
      <c r="H103" s="4"/>
      <c r="I103" s="4"/>
    </row>
    <row r="104" spans="1:9" ht="47.1" customHeight="1">
      <c r="A104" s="27" t="s">
        <v>272</v>
      </c>
      <c r="B104" s="105" t="s">
        <v>57</v>
      </c>
      <c r="C104" s="55" t="s">
        <v>73</v>
      </c>
      <c r="D104" s="56"/>
      <c r="E104" s="57"/>
      <c r="F104" s="39" t="s">
        <v>248</v>
      </c>
      <c r="G104" s="43" t="s">
        <v>171</v>
      </c>
      <c r="H104" s="29" t="s">
        <v>314</v>
      </c>
      <c r="I104" s="47"/>
    </row>
    <row r="105" spans="1:9" ht="47.1" customHeight="1">
      <c r="A105" s="30" t="s">
        <v>273</v>
      </c>
      <c r="B105" s="106"/>
      <c r="C105" s="58"/>
      <c r="D105" s="59"/>
      <c r="E105" s="60"/>
      <c r="F105" s="40" t="s">
        <v>248</v>
      </c>
      <c r="G105" s="45" t="s">
        <v>171</v>
      </c>
      <c r="H105" s="32" t="s">
        <v>249</v>
      </c>
      <c r="I105" s="48"/>
    </row>
    <row r="106" spans="1:9" ht="33.950000000000003" customHeight="1">
      <c r="A106" s="27" t="inlineStr">
        <is>
          <r>
            <rPr>
              <rFont val="맑은 고딕"/>
              <sz val="11"/>
              <b val="1"/>
              <color rgb="FF9C0006"/>
            </rPr>
            <t xml:space="preserve">[-]</t>
          </r>
        </is>
      </c>
      <c r="B106" s="106"/>
      <c r="C106" s="58"/>
      <c r="D106" s="59"/>
      <c r="E106" s="60"/>
      <c r="F106" s="38" t="inlineStr">
        <is>
          <r>
            <rPr>
              <rFont val="맑은 고딕"/>
              <sz val="11"/>
              <b val="0"/>
              <color rgb="FF666666"/>
            </rPr>
            <t xml:space="preserve">실시간 신호처리</t>
          </r>
          <r>
            <rPr>
              <rFont val="맑은 고딕"/>
              <sz val="11"/>
              <b val="1"/>
              <color rgb="FF9C0006"/>
            </rPr>
            <t xml:space="preserve">가</t>
          </r>
          <r>
            <rPr>
              <rFont val="맑은 고딕"/>
              <sz val="11"/>
              <b val="0"/>
              <color rgb="FF666666"/>
            </rPr>
            <t xml:space="preserve"> </t>
          </r>
          <r>
            <rPr>
              <rFont val="맑은 고딕"/>
              <sz val="11"/>
              <b val="1"/>
              <color rgb="FF9C0006"/>
            </rPr>
            <t xml:space="preserve">가능하도</t>
          </r>
          <r>
            <rPr>
              <rFont val="맑은 고딕"/>
              <sz val="11"/>
              <b val="0"/>
              <color rgb="FF666666"/>
            </rPr>
            <t xml:space="preserve">록 </t>
          </r>
          <r>
            <rPr>
              <rFont val="맑은 고딕"/>
              <sz val="11"/>
              <b val="1"/>
              <color rgb="FF9C0006"/>
            </rPr>
            <t xml:space="preserve">설계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G106" s="43" t="inlineStr">
        <is>
          <r>
            <rPr>
              <rFont val="맑은 고딕"/>
              <sz val="11"/>
              <b val="0"/>
              <color rgb="FF666666"/>
            </rPr>
            <t xml:space="preserve">SW-FW-RID-58</t>
          </r>
        </is>
      </c>
      <c r="H106" s="29" t="inlineStr">
        <is>
          <r>
            <rPr>
              <rFont val="맑은 고딕"/>
              <sz val="11"/>
              <b val="0"/>
              <color rgb="FF666666"/>
            </rPr>
            <t xml:space="preserve">SYS-RID-FW</t>
          </r>
          <r>
            <rPr>
              <rFont val="맑은 고딕"/>
              <sz val="11"/>
              <b val="1"/>
              <color rgb="FF9C0006"/>
            </rPr>
            <t xml:space="preserve">:26</t>
          </r>
        </is>
      </c>
      <c r="I106" s="44"/>
    </row>
    <row r="107" spans="1:9" ht="60" customHeight="1">
      <c r="A107" s="30" t="inlineStr">
        <is>
          <r>
            <rPr>
              <rFont val="맑은 고딕"/>
              <sz val="11"/>
              <b val="1"/>
              <color rgb="FF006100"/>
            </rPr>
            <t xml:space="preserve">[+]</t>
          </r>
        </is>
      </c>
      <c r="B107" s="106"/>
      <c r="C107" s="58"/>
      <c r="D107" s="59"/>
      <c r="E107" s="60"/>
      <c r="F107" s="35" t="inlineStr">
        <is>
          <r>
            <rPr>
              <rFont val="맑은 고딕"/>
              <sz val="11"/>
              <b val="0"/>
              <color rgb="FF666666"/>
            </rPr>
            <t xml:space="preserve">실시간 신호처리 </t>
          </r>
          <r>
            <rPr>
              <rFont val="맑은 고딕"/>
              <sz val="11"/>
              <b val="1"/>
              <color rgb="FF006100"/>
            </rPr>
            <t xml:space="preserve">주기는 1.00ms, 허용 오차 +/-5%(0.95~1.05ms)이며 각 블</t>
          </r>
          <r>
            <rPr>
              <rFont val="맑은 고딕"/>
              <sz val="11"/>
              <b val="0"/>
              <color rgb="FF666666"/>
            </rPr>
            <t xml:space="preserve">록 </t>
          </r>
          <r>
            <rPr>
              <rFont val="맑은 고딕"/>
              <sz val="11"/>
              <b val="1"/>
              <color rgb="FF006100"/>
            </rPr>
            <t xml:space="preserve">처리는 다음 처리 시작 전에 완료되어야 </t>
          </r>
          <r>
            <rPr>
              <rFont val="맑은 고딕"/>
              <sz val="11"/>
              <b val="0"/>
              <color rgb="FF666666"/>
            </rPr>
            <t xml:space="preserve">한다.</t>
          </r>
        </is>
      </c>
      <c r="G107" s="45" t="inlineStr">
        <is>
          <r>
            <rPr>
              <rFont val="맑은 고딕"/>
              <sz val="11"/>
              <b val="0"/>
              <color rgb="FF666666"/>
            </rPr>
            <t xml:space="preserve">SW-FW-RID-58</t>
          </r>
        </is>
      </c>
      <c r="H107" s="32" t="inlineStr">
        <is>
          <r>
            <rPr>
              <rFont val="맑은 고딕"/>
              <sz val="11"/>
              <b val="0"/>
              <color rgb="FF666666"/>
            </rPr>
            <t xml:space="preserve">SYS-RID-FW</t>
          </r>
          <r>
            <rPr>
              <rFont val="맑은 고딕"/>
              <sz val="11"/>
              <b val="1"/>
              <color rgb="FF006100"/>
            </rPr>
            <t xml:space="preserve">-41</t>
          </r>
        </is>
      </c>
      <c r="I107" s="46"/>
    </row>
    <row r="108" spans="1:9" ht="42.95" customHeight="1">
      <c r="A108" s="27" t="s">
        <v>272</v>
      </c>
      <c r="B108" s="106"/>
      <c r="C108" s="58"/>
      <c r="D108" s="59"/>
      <c r="E108" s="60"/>
      <c r="F108" s="38" t="s">
        <v>252</v>
      </c>
      <c r="G108" s="43" t="s">
        <v>173</v>
      </c>
      <c r="H108" s="29" t="s">
        <v>316</v>
      </c>
      <c r="I108" s="44"/>
    </row>
    <row r="109" spans="1:9" ht="42.95" customHeight="1">
      <c r="A109" s="30" t="s">
        <v>273</v>
      </c>
      <c r="B109" s="106"/>
      <c r="C109" s="58"/>
      <c r="D109" s="59"/>
      <c r="E109" s="60"/>
      <c r="F109" s="35" t="s">
        <v>252</v>
      </c>
      <c r="G109" s="45" t="s">
        <v>173</v>
      </c>
      <c r="H109" s="32" t="s">
        <v>253</v>
      </c>
      <c r="I109" s="46"/>
    </row>
    <row r="110" spans="1:9" ht="33.950000000000003" customHeight="1">
      <c r="A110" s="27" t="s">
        <v>272</v>
      </c>
      <c r="B110" s="106"/>
      <c r="C110" s="58"/>
      <c r="D110" s="59"/>
      <c r="E110" s="60"/>
      <c r="F110" s="38" t="s">
        <v>254</v>
      </c>
      <c r="G110" s="43" t="s">
        <v>174</v>
      </c>
      <c r="H110" s="29" t="s">
        <v>317</v>
      </c>
      <c r="I110" s="44"/>
    </row>
    <row r="111" spans="1:9" ht="33.950000000000003" customHeight="1">
      <c r="A111" s="30" t="s">
        <v>273</v>
      </c>
      <c r="B111" s="106"/>
      <c r="C111" s="58"/>
      <c r="D111" s="59"/>
      <c r="E111" s="60"/>
      <c r="F111" s="35" t="s">
        <v>254</v>
      </c>
      <c r="G111" s="45" t="s">
        <v>174</v>
      </c>
      <c r="H111" s="32" t="s">
        <v>255</v>
      </c>
      <c r="I111" s="46"/>
    </row>
    <row r="112" spans="1:9" ht="33.950000000000003" customHeight="1">
      <c r="A112" s="27" t="s">
        <v>272</v>
      </c>
      <c r="B112" s="106"/>
      <c r="C112" s="58"/>
      <c r="D112" s="59"/>
      <c r="E112" s="60"/>
      <c r="F112" s="38" t="s">
        <v>256</v>
      </c>
      <c r="G112" s="43" t="s">
        <v>175</v>
      </c>
      <c r="H112" s="29" t="s">
        <v>318</v>
      </c>
      <c r="I112" s="44"/>
    </row>
    <row r="113" spans="1:9" ht="33.950000000000003" customHeight="1">
      <c r="A113" s="30" t="s">
        <v>273</v>
      </c>
      <c r="B113" s="106"/>
      <c r="C113" s="58"/>
      <c r="D113" s="59"/>
      <c r="E113" s="60"/>
      <c r="F113" s="35" t="s">
        <v>256</v>
      </c>
      <c r="G113" s="45" t="s">
        <v>175</v>
      </c>
      <c r="H113" s="32" t="s">
        <v>257</v>
      </c>
      <c r="I113" s="46"/>
    </row>
    <row r="114" spans="1:9" ht="33.950000000000003" customHeight="1">
      <c r="A114" s="27" t="s">
        <v>272</v>
      </c>
      <c r="B114" s="106"/>
      <c r="C114" s="58"/>
      <c r="D114" s="59"/>
      <c r="E114" s="60"/>
      <c r="F114" s="38" t="s">
        <v>258</v>
      </c>
      <c r="G114" s="43" t="s">
        <v>176</v>
      </c>
      <c r="H114" s="29" t="s">
        <v>319</v>
      </c>
      <c r="I114" s="44"/>
    </row>
    <row r="115" spans="1:9" ht="33.950000000000003" customHeight="1">
      <c r="A115" s="30" t="s">
        <v>273</v>
      </c>
      <c r="B115" s="106"/>
      <c r="C115" s="61"/>
      <c r="D115" s="62"/>
      <c r="E115" s="63"/>
      <c r="F115" s="35" t="s">
        <v>258</v>
      </c>
      <c r="G115" s="45" t="s">
        <v>176</v>
      </c>
      <c r="H115" s="32" t="s">
        <v>259</v>
      </c>
      <c r="I115" s="46"/>
    </row>
    <row r="116" spans="1:9" ht="33" customHeight="1">
      <c r="A116" s="27" t="s">
        <v>272</v>
      </c>
      <c r="B116" s="106"/>
      <c r="C116" s="93"/>
      <c r="D116" s="94"/>
      <c r="E116" s="95"/>
      <c r="F116" s="38" t="s">
        <v>260</v>
      </c>
      <c r="G116" s="43" t="s">
        <v>177</v>
      </c>
      <c r="H116" s="43" t="s">
        <v>345</v>
      </c>
      <c r="I116" s="44"/>
    </row>
    <row r="117" spans="1:9" ht="33" customHeight="1">
      <c r="A117" s="30" t="s">
        <v>273</v>
      </c>
      <c r="B117" s="106"/>
      <c r="C117" s="96"/>
      <c r="D117" s="97"/>
      <c r="E117" s="98"/>
      <c r="F117" s="35" t="s">
        <v>260</v>
      </c>
      <c r="G117" s="45" t="s">
        <v>177</v>
      </c>
      <c r="H117" s="46"/>
      <c r="I117" s="46"/>
    </row>
    <row r="118" spans="1:9" ht="33.950000000000003" customHeight="1">
      <c r="A118" s="27" t="s">
        <v>272</v>
      </c>
      <c r="B118" s="106"/>
      <c r="C118" s="96"/>
      <c r="D118" s="97"/>
      <c r="E118" s="98"/>
      <c r="F118" s="38" t="s">
        <v>261</v>
      </c>
      <c r="G118" s="43" t="s">
        <v>178</v>
      </c>
      <c r="H118" s="29" t="s">
        <v>320</v>
      </c>
      <c r="I118" s="44"/>
    </row>
    <row r="119" spans="1:9" ht="33.950000000000003" customHeight="1">
      <c r="A119" s="30" t="s">
        <v>273</v>
      </c>
      <c r="B119" s="106"/>
      <c r="C119" s="96"/>
      <c r="D119" s="97"/>
      <c r="E119" s="98"/>
      <c r="F119" s="35" t="s">
        <v>261</v>
      </c>
      <c r="G119" s="45" t="s">
        <v>178</v>
      </c>
      <c r="H119" s="32" t="s">
        <v>262</v>
      </c>
      <c r="I119" s="46"/>
    </row>
    <row r="120" spans="1:9" ht="33.950000000000003" customHeight="1">
      <c r="A120" s="27" t="s">
        <v>272</v>
      </c>
      <c r="B120" s="106"/>
      <c r="C120" s="96"/>
      <c r="D120" s="97"/>
      <c r="E120" s="98"/>
      <c r="F120" s="38" t="s">
        <v>263</v>
      </c>
      <c r="G120" s="43" t="s">
        <v>179</v>
      </c>
      <c r="H120" s="29" t="s">
        <v>321</v>
      </c>
      <c r="I120" s="44"/>
    </row>
    <row r="121" spans="1:9" ht="33.950000000000003" customHeight="1">
      <c r="A121" s="30" t="s">
        <v>273</v>
      </c>
      <c r="B121" s="106"/>
      <c r="C121" s="96"/>
      <c r="D121" s="97"/>
      <c r="E121" s="98"/>
      <c r="F121" s="35" t="s">
        <v>263</v>
      </c>
      <c r="G121" s="45" t="s">
        <v>179</v>
      </c>
      <c r="H121" s="32" t="s">
        <v>264</v>
      </c>
      <c r="I121" s="46"/>
    </row>
    <row r="122" spans="1:9" ht="33.950000000000003" customHeight="1">
      <c r="A122" s="27" t="s">
        <v>272</v>
      </c>
      <c r="B122" s="106"/>
      <c r="C122" s="96"/>
      <c r="D122" s="97"/>
      <c r="E122" s="98"/>
      <c r="F122" s="38" t="s">
        <v>322</v>
      </c>
      <c r="G122" s="43" t="s">
        <v>180</v>
      </c>
      <c r="H122" s="29" t="s">
        <v>323</v>
      </c>
      <c r="I122" s="44"/>
    </row>
    <row r="123" spans="1:9" ht="33.950000000000003" customHeight="1">
      <c r="A123" s="30" t="s">
        <v>273</v>
      </c>
      <c r="B123" s="106"/>
      <c r="C123" s="96"/>
      <c r="D123" s="97"/>
      <c r="E123" s="98"/>
      <c r="F123" s="35" t="s">
        <v>265</v>
      </c>
      <c r="G123" s="45" t="s">
        <v>180</v>
      </c>
      <c r="H123" s="32" t="s">
        <v>266</v>
      </c>
      <c r="I123" s="46"/>
    </row>
    <row r="124" spans="1:9" ht="33.950000000000003" customHeight="1">
      <c r="A124" s="27" t="s">
        <v>272</v>
      </c>
      <c r="B124" s="106"/>
      <c r="C124" s="96"/>
      <c r="D124" s="97"/>
      <c r="E124" s="98"/>
      <c r="F124" s="38" t="s">
        <v>267</v>
      </c>
      <c r="G124" s="43" t="s">
        <v>181</v>
      </c>
      <c r="H124" s="29" t="s">
        <v>324</v>
      </c>
      <c r="I124" s="44"/>
    </row>
    <row r="125" spans="1:9" ht="33.950000000000003" customHeight="1">
      <c r="A125" s="30" t="s">
        <v>273</v>
      </c>
      <c r="B125" s="106"/>
      <c r="C125" s="96"/>
      <c r="D125" s="97"/>
      <c r="E125" s="98"/>
      <c r="F125" s="35" t="s">
        <v>267</v>
      </c>
      <c r="G125" s="45" t="s">
        <v>181</v>
      </c>
      <c r="H125" s="32" t="s">
        <v>268</v>
      </c>
      <c r="I125" s="46"/>
    </row>
    <row r="126" spans="1:9" ht="33.950000000000003" customHeight="1">
      <c r="A126" s="27" t="s">
        <v>272</v>
      </c>
      <c r="B126" s="106"/>
      <c r="C126" s="96"/>
      <c r="D126" s="97"/>
      <c r="E126" s="98"/>
      <c r="F126" s="38" t="s">
        <v>269</v>
      </c>
      <c r="G126" s="43" t="s">
        <v>182</v>
      </c>
      <c r="H126" s="29" t="s">
        <v>325</v>
      </c>
      <c r="I126" s="44"/>
    </row>
    <row r="127" spans="1:9" ht="33.950000000000003" customHeight="1">
      <c r="A127" s="30" t="s">
        <v>273</v>
      </c>
      <c r="B127" s="107"/>
      <c r="C127" s="99"/>
      <c r="D127" s="100"/>
      <c r="E127" s="101"/>
      <c r="F127" s="35" t="s">
        <v>269</v>
      </c>
      <c r="G127" s="45" t="s">
        <v>182</v>
      </c>
      <c r="H127" s="32" t="s">
        <v>270</v>
      </c>
      <c r="I127" s="46"/>
    </row>
    <row r="128" spans="1:9">
      <c r="A128"/>
      <c r="B128"/>
      <c r="C128"/>
      <c r="D128"/>
      <c r="E128"/>
      <c r="F128"/>
      <c r="G128"/>
      <c r="H128"/>
      <c r="I128"/>
    </row>
    <row r="129" spans="1:9">
      <c r="A129"/>
      <c r="B129"/>
      <c r="C129"/>
      <c r="D129"/>
      <c r="E129"/>
      <c r="F129"/>
      <c r="G129"/>
      <c r="H129"/>
      <c r="I129"/>
    </row>
    <row r="130" spans="1:9">
      <c r="A130"/>
      <c r="B130"/>
      <c r="C130"/>
      <c r="D130"/>
      <c r="E130"/>
      <c r="F130"/>
      <c r="G130"/>
      <c r="H130"/>
      <c r="I130"/>
    </row>
    <row r="131" spans="1:9">
      <c r="A131"/>
      <c r="B131"/>
      <c r="C131"/>
      <c r="D131"/>
      <c r="E131"/>
      <c r="F131"/>
      <c r="G131"/>
      <c r="H131"/>
      <c r="I131"/>
    </row>
    <row r="132" spans="1:9">
      <c r="A132"/>
      <c r="B132"/>
      <c r="C132"/>
      <c r="D132"/>
      <c r="E132"/>
      <c r="F132"/>
      <c r="G132"/>
      <c r="H132"/>
      <c r="I132"/>
    </row>
    <row r="133" spans="1:9">
      <c r="A133"/>
      <c r="B133"/>
      <c r="C133"/>
      <c r="D133"/>
      <c r="E133"/>
      <c r="F133"/>
      <c r="G133"/>
      <c r="H133"/>
      <c r="I133"/>
    </row>
    <row r="134" spans="1:9">
      <c r="A134"/>
      <c r="B134"/>
      <c r="C134"/>
      <c r="D134"/>
      <c r="E134"/>
      <c r="F134"/>
      <c r="G134"/>
      <c r="H134"/>
      <c r="I134"/>
    </row>
    <row r="135" spans="1:9">
      <c r="A135"/>
      <c r="B135"/>
      <c r="C135"/>
      <c r="D135"/>
      <c r="E135"/>
      <c r="F135"/>
      <c r="G135"/>
      <c r="H135"/>
      <c r="I135"/>
    </row>
    <row r="136" spans="1:9">
      <c r="A136"/>
      <c r="B136"/>
      <c r="C136"/>
      <c r="D136"/>
      <c r="E136"/>
      <c r="F136"/>
      <c r="G136"/>
      <c r="H136"/>
      <c r="I136"/>
    </row>
    <row r="137" spans="1:9">
      <c r="A137"/>
      <c r="B137"/>
      <c r="C137"/>
      <c r="D137"/>
      <c r="E137"/>
      <c r="F137"/>
      <c r="G137"/>
      <c r="H137"/>
      <c r="I137"/>
    </row>
    <row r="138" spans="1:9">
      <c r="A138"/>
      <c r="B138"/>
      <c r="C138"/>
      <c r="D138"/>
      <c r="E138"/>
      <c r="F138"/>
      <c r="G138"/>
      <c r="H138"/>
      <c r="I138"/>
    </row>
    <row r="139" spans="1:9">
      <c r="A139"/>
      <c r="B139"/>
      <c r="C139"/>
      <c r="D139"/>
      <c r="E139"/>
      <c r="F139"/>
      <c r="G139"/>
      <c r="H139"/>
      <c r="I139"/>
    </row>
    <row r="140" spans="1:9">
      <c r="A140"/>
      <c r="B140"/>
      <c r="C140"/>
      <c r="D140"/>
      <c r="E140"/>
      <c r="F140"/>
      <c r="G140"/>
      <c r="H140"/>
      <c r="I140"/>
    </row>
    <row r="141" spans="1:9">
      <c r="A141"/>
      <c r="B141"/>
      <c r="C141"/>
      <c r="D141"/>
      <c r="E141"/>
      <c r="F141"/>
      <c r="G141"/>
      <c r="H141"/>
      <c r="I141"/>
    </row>
    <row r="142" spans="1:9">
      <c r="A142"/>
      <c r="B142"/>
      <c r="C142"/>
      <c r="D142"/>
      <c r="E142"/>
      <c r="F142"/>
      <c r="G142"/>
      <c r="H142"/>
      <c r="I142"/>
    </row>
    <row r="143" spans="1:9">
      <c r="A143"/>
      <c r="B143"/>
      <c r="C143"/>
      <c r="D143"/>
      <c r="E143"/>
      <c r="F143"/>
      <c r="G143"/>
      <c r="H143"/>
      <c r="I143"/>
    </row>
    <row r="144" spans="1:9">
      <c r="A144"/>
      <c r="B144"/>
      <c r="C144"/>
      <c r="D144"/>
      <c r="E144"/>
      <c r="F144"/>
      <c r="G144"/>
      <c r="H144"/>
      <c r="I144"/>
    </row>
    <row r="145" spans="1:9">
      <c r="A145"/>
      <c r="B145"/>
      <c r="C145"/>
      <c r="D145"/>
      <c r="E145"/>
      <c r="F145"/>
      <c r="G145"/>
      <c r="H145"/>
      <c r="I145"/>
    </row>
    <row r="146" spans="1:9">
      <c r="A146"/>
      <c r="B146"/>
      <c r="C146"/>
      <c r="D146"/>
      <c r="E146"/>
      <c r="F146"/>
      <c r="G146"/>
      <c r="H146"/>
      <c r="I146"/>
    </row>
    <row r="147" spans="1:9">
      <c r="A147"/>
      <c r="B147"/>
      <c r="C147"/>
      <c r="D147"/>
      <c r="E147"/>
      <c r="F147"/>
      <c r="G147"/>
      <c r="H147"/>
      <c r="I147"/>
    </row>
    <row r="148" spans="1:9">
      <c r="A148"/>
      <c r="B148"/>
      <c r="C148"/>
      <c r="D148"/>
      <c r="E148"/>
      <c r="F148"/>
      <c r="G148"/>
      <c r="H148"/>
      <c r="I148"/>
    </row>
    <row r="149" spans="1:9">
      <c r="A149"/>
      <c r="B149"/>
      <c r="C149"/>
      <c r="D149"/>
      <c r="E149"/>
      <c r="F149"/>
      <c r="G149"/>
      <c r="H149"/>
      <c r="I149"/>
    </row>
    <row r="150" spans="1:9">
      <c r="A150"/>
      <c r="B150"/>
      <c r="C150"/>
      <c r="D150"/>
      <c r="E150"/>
      <c r="F150"/>
      <c r="G150"/>
      <c r="H150"/>
      <c r="I150"/>
    </row>
    <row r="151" spans="1:9">
      <c r="A151"/>
      <c r="B151"/>
      <c r="C151"/>
      <c r="D151"/>
      <c r="E151"/>
      <c r="F151"/>
      <c r="G151"/>
      <c r="H151"/>
      <c r="I151"/>
    </row>
    <row r="152" spans="1:9">
      <c r="A152"/>
      <c r="B152"/>
      <c r="C152"/>
      <c r="D152"/>
      <c r="E152"/>
      <c r="F152"/>
      <c r="G152"/>
      <c r="H152"/>
      <c r="I152"/>
    </row>
    <row r="153" spans="1:9">
      <c r="A153"/>
      <c r="B153"/>
      <c r="C153"/>
      <c r="D153"/>
      <c r="E153"/>
      <c r="F153"/>
      <c r="G153"/>
      <c r="H153"/>
      <c r="I153"/>
    </row>
    <row r="154" spans="1:9">
      <c r="A154"/>
      <c r="B154"/>
      <c r="C154"/>
      <c r="D154"/>
      <c r="E154"/>
      <c r="F154"/>
      <c r="G154"/>
      <c r="H154"/>
      <c r="I154"/>
    </row>
    <row r="155" spans="1:9">
      <c r="A155"/>
      <c r="B155"/>
      <c r="C155"/>
      <c r="D155"/>
      <c r="E155"/>
      <c r="F155"/>
      <c r="G155"/>
      <c r="H155"/>
      <c r="I155"/>
    </row>
    <row r="156" spans="1:9">
      <c r="A156"/>
      <c r="B156"/>
      <c r="C156"/>
      <c r="D156"/>
      <c r="E156"/>
      <c r="F156"/>
      <c r="G156"/>
      <c r="H156"/>
      <c r="I156"/>
    </row>
    <row r="157" spans="1:9">
      <c r="A157"/>
      <c r="B157"/>
      <c r="C157"/>
      <c r="D157"/>
      <c r="E157"/>
      <c r="F157"/>
      <c r="G157"/>
      <c r="H157"/>
      <c r="I157"/>
    </row>
    <row r="158" spans="1:9">
      <c r="A158"/>
      <c r="B158"/>
      <c r="C158"/>
      <c r="D158"/>
      <c r="E158"/>
      <c r="F158"/>
      <c r="G158"/>
      <c r="H158"/>
      <c r="I158"/>
    </row>
    <row r="159" spans="1:9">
      <c r="A159"/>
      <c r="B159"/>
      <c r="C159"/>
      <c r="D159"/>
      <c r="E159"/>
      <c r="F159"/>
      <c r="G159"/>
      <c r="H159"/>
      <c r="I159"/>
    </row>
    <row r="160" spans="1:9">
      <c r="A160"/>
      <c r="B160"/>
      <c r="C160"/>
      <c r="D160"/>
      <c r="E160"/>
      <c r="F160"/>
      <c r="G160"/>
      <c r="H160"/>
      <c r="I160"/>
    </row>
    <row r="161" spans="1:9">
      <c r="A161"/>
      <c r="B161"/>
      <c r="C161"/>
      <c r="D161"/>
      <c r="E161"/>
      <c r="F161"/>
      <c r="G161"/>
      <c r="H161"/>
      <c r="I161"/>
    </row>
    <row r="162" spans="1:9">
      <c r="A162"/>
      <c r="B162"/>
      <c r="C162"/>
      <c r="D162"/>
      <c r="E162"/>
      <c r="F162"/>
      <c r="G162"/>
      <c r="H162"/>
      <c r="I162"/>
    </row>
    <row r="163" spans="1:9">
      <c r="A163"/>
      <c r="B163"/>
      <c r="C163"/>
      <c r="D163"/>
      <c r="E163"/>
      <c r="F163"/>
      <c r="G163"/>
      <c r="H163"/>
      <c r="I163"/>
    </row>
    <row r="164" spans="1:9">
      <c r="A164"/>
      <c r="B164"/>
      <c r="C164"/>
      <c r="D164"/>
      <c r="E164"/>
      <c r="F164"/>
      <c r="G164"/>
      <c r="H164"/>
      <c r="I164"/>
    </row>
    <row r="165" spans="1:9">
      <c r="A165"/>
      <c r="B165"/>
      <c r="C165"/>
      <c r="D165"/>
      <c r="E165"/>
      <c r="F165"/>
      <c r="G165"/>
      <c r="H165"/>
      <c r="I165"/>
    </row>
    <row r="166" spans="1:9">
      <c r="A166"/>
      <c r="B166"/>
      <c r="C166"/>
      <c r="D166"/>
      <c r="E166"/>
      <c r="F166"/>
      <c r="G166"/>
      <c r="H166"/>
      <c r="I166"/>
    </row>
    <row r="167" spans="1:9">
      <c r="A167"/>
      <c r="B167"/>
      <c r="C167"/>
      <c r="D167"/>
      <c r="E167"/>
      <c r="F167"/>
      <c r="G167"/>
      <c r="H167"/>
      <c r="I167"/>
    </row>
    <row r="168" spans="1:9">
      <c r="A168"/>
      <c r="B168"/>
      <c r="C168"/>
      <c r="D168"/>
      <c r="E168"/>
      <c r="F168"/>
      <c r="G168"/>
      <c r="H168"/>
      <c r="I168"/>
    </row>
    <row r="169" spans="1:9">
      <c r="A169"/>
      <c r="B169"/>
      <c r="C169"/>
      <c r="D169"/>
      <c r="E169"/>
      <c r="F169"/>
      <c r="G169"/>
      <c r="H169"/>
      <c r="I169"/>
    </row>
    <row r="170" spans="1:9">
      <c r="A170"/>
      <c r="B170"/>
      <c r="C170"/>
      <c r="D170"/>
      <c r="E170"/>
      <c r="F170"/>
      <c r="G170"/>
      <c r="H170"/>
      <c r="I170"/>
    </row>
    <row r="171" spans="1:9">
      <c r="A171"/>
      <c r="B171"/>
      <c r="C171"/>
      <c r="D171"/>
      <c r="E171"/>
      <c r="F171"/>
      <c r="G171"/>
      <c r="H171"/>
      <c r="I171"/>
    </row>
    <row r="172" spans="1:9">
      <c r="A172"/>
      <c r="B172"/>
      <c r="C172"/>
      <c r="D172"/>
      <c r="E172"/>
      <c r="F172"/>
      <c r="G172"/>
      <c r="H172"/>
      <c r="I172"/>
    </row>
    <row r="173" spans="1:9">
      <c r="A173"/>
      <c r="B173"/>
      <c r="C173"/>
      <c r="D173"/>
      <c r="E173"/>
      <c r="F173"/>
      <c r="G173"/>
      <c r="H173"/>
      <c r="I173"/>
    </row>
    <row r="174" spans="1:9">
      <c r="A174"/>
      <c r="B174"/>
      <c r="C174"/>
      <c r="D174"/>
      <c r="E174"/>
      <c r="F174"/>
      <c r="G174"/>
      <c r="H174"/>
      <c r="I174"/>
    </row>
    <row r="175" spans="1:9">
      <c r="A175"/>
      <c r="B175"/>
      <c r="C175"/>
      <c r="D175"/>
      <c r="E175"/>
      <c r="F175"/>
      <c r="G175"/>
      <c r="H175"/>
      <c r="I175"/>
    </row>
    <row r="176" spans="1:9">
      <c r="A176"/>
      <c r="B176"/>
      <c r="C176"/>
      <c r="D176"/>
      <c r="E176"/>
      <c r="F176"/>
      <c r="G176"/>
      <c r="H176"/>
      <c r="I176"/>
    </row>
    <row r="177" spans="1:9">
      <c r="A177"/>
      <c r="B177"/>
      <c r="C177"/>
      <c r="D177"/>
      <c r="E177"/>
      <c r="F177"/>
      <c r="G177"/>
      <c r="H177"/>
      <c r="I177"/>
    </row>
    <row r="178" spans="1:9">
      <c r="A178"/>
      <c r="B178"/>
      <c r="C178"/>
      <c r="D178"/>
      <c r="E178"/>
      <c r="F178"/>
      <c r="G178"/>
      <c r="H178"/>
      <c r="I178"/>
    </row>
    <row r="179" spans="1:9">
      <c r="A179"/>
      <c r="B179"/>
      <c r="C179"/>
      <c r="D179"/>
      <c r="E179"/>
      <c r="F179"/>
      <c r="G179"/>
      <c r="H179"/>
      <c r="I179"/>
    </row>
    <row r="180" spans="1:9">
      <c r="A180"/>
      <c r="B180"/>
      <c r="C180"/>
      <c r="D180"/>
      <c r="E180"/>
      <c r="F180"/>
      <c r="G180"/>
      <c r="H180"/>
      <c r="I180"/>
    </row>
    <row r="181" spans="1:9">
      <c r="A181"/>
      <c r="B181"/>
      <c r="C181"/>
      <c r="D181"/>
      <c r="E181"/>
      <c r="F181"/>
      <c r="G181"/>
      <c r="H181"/>
      <c r="I181"/>
    </row>
    <row r="182" spans="1:9">
      <c r="A182"/>
      <c r="B182"/>
      <c r="C182"/>
      <c r="D182"/>
      <c r="E182"/>
      <c r="F182"/>
      <c r="G182"/>
      <c r="H182"/>
      <c r="I182"/>
    </row>
    <row r="183" spans="1:9">
      <c r="A183"/>
      <c r="B183"/>
      <c r="C183"/>
      <c r="D183"/>
      <c r="E183"/>
      <c r="F183"/>
      <c r="G183"/>
      <c r="H183"/>
      <c r="I183"/>
    </row>
    <row r="184" spans="1:9">
      <c r="A184"/>
      <c r="B184"/>
      <c r="C184"/>
      <c r="D184"/>
      <c r="E184"/>
      <c r="F184"/>
      <c r="G184"/>
      <c r="H184"/>
      <c r="I184"/>
    </row>
    <row r="185" spans="1:9">
      <c r="A185"/>
      <c r="B185"/>
      <c r="C185"/>
      <c r="D185"/>
      <c r="E185"/>
      <c r="F185"/>
      <c r="G185"/>
      <c r="H185"/>
      <c r="I185"/>
    </row>
    <row r="186" spans="1:9">
      <c r="A186"/>
      <c r="B186"/>
      <c r="C186"/>
      <c r="D186"/>
      <c r="E186"/>
      <c r="F186"/>
      <c r="G186"/>
      <c r="H186"/>
      <c r="I186"/>
    </row>
    <row r="187" spans="1:9">
      <c r="A187"/>
      <c r="B187"/>
      <c r="C187"/>
      <c r="D187"/>
      <c r="E187"/>
      <c r="F187"/>
      <c r="G187"/>
      <c r="H187"/>
      <c r="I187"/>
    </row>
    <row r="188" spans="1:9">
      <c r="A188"/>
      <c r="B188"/>
      <c r="C188"/>
      <c r="D188"/>
      <c r="E188"/>
      <c r="F188"/>
      <c r="G188"/>
      <c r="H188"/>
      <c r="I188"/>
    </row>
    <row r="189" spans="1:9">
      <c r="A189"/>
      <c r="B189"/>
      <c r="C189"/>
      <c r="D189"/>
      <c r="E189"/>
      <c r="F189"/>
      <c r="G189"/>
      <c r="H189"/>
      <c r="I189"/>
    </row>
    <row r="190" spans="1:9">
      <c r="A190"/>
      <c r="B190"/>
      <c r="C190"/>
      <c r="D190"/>
      <c r="E190"/>
      <c r="F190"/>
      <c r="G190"/>
      <c r="H190"/>
      <c r="I190"/>
    </row>
    <row r="191" spans="1:9">
      <c r="A191"/>
      <c r="B191"/>
      <c r="C191"/>
      <c r="D191"/>
      <c r="E191"/>
      <c r="F191"/>
      <c r="G191"/>
      <c r="H191"/>
      <c r="I191"/>
    </row>
    <row r="192" spans="1:9">
      <c r="A192"/>
      <c r="B192"/>
      <c r="C192"/>
      <c r="D192"/>
      <c r="E192"/>
      <c r="F192"/>
      <c r="G192"/>
      <c r="H192"/>
      <c r="I192"/>
    </row>
    <row r="193" spans="1:9">
      <c r="A193"/>
      <c r="B193"/>
      <c r="C193"/>
      <c r="D193"/>
      <c r="E193"/>
      <c r="F193"/>
      <c r="G193"/>
      <c r="H193"/>
      <c r="I193"/>
    </row>
    <row r="194" spans="1:9">
      <c r="A194"/>
      <c r="B194"/>
      <c r="C194"/>
      <c r="D194"/>
      <c r="E194"/>
      <c r="F194"/>
      <c r="G194"/>
      <c r="H194"/>
      <c r="I194"/>
    </row>
    <row r="195" spans="1:9">
      <c r="A195"/>
      <c r="B195"/>
      <c r="C195"/>
      <c r="D195"/>
      <c r="E195"/>
      <c r="F195"/>
      <c r="G195"/>
      <c r="H195"/>
      <c r="I195"/>
    </row>
    <row r="196" spans="1:9">
      <c r="A196"/>
      <c r="B196"/>
      <c r="C196"/>
      <c r="D196"/>
      <c r="E196"/>
      <c r="F196"/>
      <c r="G196"/>
      <c r="H196"/>
      <c r="I196"/>
    </row>
    <row r="197" spans="1:9">
      <c r="A197"/>
      <c r="B197"/>
      <c r="C197"/>
      <c r="D197"/>
      <c r="E197"/>
      <c r="F197"/>
      <c r="G197"/>
      <c r="H197"/>
      <c r="I197"/>
    </row>
    <row r="198" spans="1:9">
      <c r="A198"/>
      <c r="B198"/>
      <c r="C198"/>
      <c r="D198"/>
      <c r="E198"/>
      <c r="F198"/>
      <c r="G198"/>
      <c r="H198"/>
      <c r="I198"/>
    </row>
    <row r="199" spans="1:9">
      <c r="A199"/>
      <c r="B199"/>
      <c r="C199"/>
      <c r="D199"/>
      <c r="E199"/>
      <c r="F199"/>
      <c r="G199"/>
      <c r="H199"/>
      <c r="I199"/>
    </row>
    <row r="200" spans="1:9">
      <c r="A200"/>
      <c r="B200"/>
      <c r="C200"/>
      <c r="D200"/>
      <c r="E200"/>
      <c r="F200"/>
      <c r="G200"/>
      <c r="H200"/>
      <c r="I200"/>
    </row>
    <row r="201" spans="1:9">
      <c r="A201"/>
      <c r="B201"/>
      <c r="C201"/>
      <c r="D201"/>
      <c r="E201"/>
      <c r="F201"/>
      <c r="G201"/>
      <c r="H201"/>
      <c r="I201"/>
    </row>
    <row r="202" spans="1:9">
      <c r="A202"/>
      <c r="B202"/>
      <c r="C202"/>
      <c r="D202"/>
      <c r="E202"/>
      <c r="F202"/>
      <c r="G202"/>
      <c r="H202"/>
      <c r="I202"/>
    </row>
    <row r="203" spans="1:9">
      <c r="A203"/>
      <c r="B203"/>
      <c r="C203"/>
      <c r="D203"/>
      <c r="E203"/>
      <c r="F203"/>
      <c r="G203"/>
      <c r="H203"/>
      <c r="I203"/>
    </row>
    <row r="204" spans="1:9">
      <c r="A204"/>
      <c r="B204"/>
      <c r="C204"/>
      <c r="D204"/>
      <c r="E204"/>
      <c r="F204"/>
      <c r="G204"/>
      <c r="H204"/>
      <c r="I204"/>
    </row>
    <row r="205" spans="1:9">
      <c r="A205"/>
      <c r="B205"/>
      <c r="C205"/>
      <c r="D205"/>
      <c r="E205"/>
      <c r="F205"/>
      <c r="G205"/>
      <c r="H205"/>
      <c r="I205"/>
    </row>
    <row r="206" spans="1:9">
      <c r="A206"/>
      <c r="B206"/>
      <c r="C206"/>
      <c r="D206"/>
      <c r="E206"/>
      <c r="F206"/>
      <c r="G206"/>
      <c r="H206"/>
      <c r="I206"/>
    </row>
    <row r="207" spans="1:9">
      <c r="A207"/>
      <c r="B207"/>
      <c r="C207"/>
      <c r="D207"/>
      <c r="E207"/>
      <c r="F207"/>
      <c r="G207"/>
      <c r="H207"/>
      <c r="I207"/>
    </row>
    <row r="208" spans="1:9">
      <c r="A208"/>
      <c r="B208"/>
      <c r="C208"/>
      <c r="D208"/>
      <c r="E208"/>
      <c r="F208"/>
      <c r="G208"/>
      <c r="H208"/>
      <c r="I208"/>
    </row>
    <row r="209" spans="1:9">
      <c r="A209"/>
      <c r="B209"/>
      <c r="C209"/>
      <c r="D209"/>
      <c r="E209"/>
      <c r="F209"/>
      <c r="G209"/>
      <c r="H209"/>
      <c r="I209"/>
    </row>
    <row r="210" spans="1:9">
      <c r="A210"/>
      <c r="B210"/>
      <c r="C210"/>
      <c r="D210"/>
      <c r="E210"/>
      <c r="F210"/>
      <c r="G210"/>
      <c r="H210"/>
      <c r="I210"/>
    </row>
    <row r="211" spans="1:9">
      <c r="A211"/>
      <c r="B211"/>
      <c r="C211"/>
      <c r="D211"/>
      <c r="E211"/>
      <c r="F211"/>
      <c r="G211"/>
      <c r="H211"/>
      <c r="I211"/>
    </row>
    <row r="212" spans="1:9">
      <c r="A212"/>
      <c r="B212"/>
      <c r="C212"/>
      <c r="D212"/>
      <c r="E212"/>
      <c r="F212"/>
      <c r="G212"/>
      <c r="H212"/>
      <c r="I212"/>
    </row>
    <row r="213" spans="1:9">
      <c r="A213"/>
      <c r="B213"/>
      <c r="C213"/>
      <c r="D213"/>
      <c r="E213"/>
      <c r="F213"/>
      <c r="G213"/>
      <c r="H213"/>
      <c r="I213"/>
    </row>
    <row r="214" spans="1:9">
      <c r="A214"/>
      <c r="B214"/>
      <c r="C214"/>
      <c r="D214"/>
      <c r="E214"/>
      <c r="F214"/>
      <c r="G214"/>
      <c r="H214"/>
      <c r="I214"/>
    </row>
    <row r="215" spans="1:9">
      <c r="A215"/>
      <c r="B215"/>
      <c r="C215"/>
      <c r="D215"/>
      <c r="E215"/>
      <c r="F215"/>
      <c r="G215"/>
      <c r="H215"/>
      <c r="I215"/>
    </row>
    <row r="216" spans="1:9">
      <c r="A216"/>
      <c r="B216"/>
      <c r="C216"/>
      <c r="D216"/>
      <c r="E216"/>
      <c r="F216"/>
      <c r="G216"/>
      <c r="H216"/>
      <c r="I216"/>
    </row>
    <row r="217" spans="1:9">
      <c r="A217"/>
      <c r="B217"/>
      <c r="C217"/>
      <c r="D217"/>
      <c r="E217"/>
      <c r="F217"/>
      <c r="G217"/>
      <c r="H217"/>
      <c r="I217"/>
    </row>
    <row r="218" spans="1:9">
      <c r="A218"/>
      <c r="B218"/>
      <c r="C218"/>
      <c r="D218"/>
      <c r="E218"/>
      <c r="F218"/>
      <c r="G218"/>
      <c r="H218"/>
      <c r="I218"/>
    </row>
    <row r="219" spans="1:9">
      <c r="A219"/>
      <c r="B219"/>
      <c r="C219"/>
      <c r="D219"/>
      <c r="E219"/>
      <c r="F219"/>
      <c r="G219"/>
      <c r="H219"/>
      <c r="I219"/>
    </row>
    <row r="220" spans="1:9">
      <c r="A220"/>
      <c r="B220"/>
      <c r="C220"/>
      <c r="D220"/>
      <c r="E220"/>
      <c r="F220"/>
      <c r="G220"/>
      <c r="H220"/>
      <c r="I220"/>
    </row>
    <row r="221" spans="1:9">
      <c r="A221"/>
      <c r="B221"/>
      <c r="C221"/>
      <c r="D221"/>
      <c r="E221"/>
      <c r="F221"/>
      <c r="G221"/>
      <c r="H221"/>
      <c r="I221"/>
    </row>
    <row r="222" spans="1:9">
      <c r="A222"/>
      <c r="B222"/>
      <c r="C222"/>
      <c r="D222"/>
      <c r="E222"/>
      <c r="F222"/>
      <c r="G222"/>
      <c r="H222"/>
      <c r="I222"/>
    </row>
    <row r="223" spans="1:9">
      <c r="A223"/>
      <c r="B223"/>
      <c r="C223"/>
      <c r="D223"/>
      <c r="E223"/>
      <c r="F223"/>
      <c r="G223"/>
      <c r="H223"/>
      <c r="I223"/>
    </row>
    <row r="224" spans="1:9">
      <c r="A224"/>
      <c r="B224"/>
      <c r="C224"/>
      <c r="D224"/>
      <c r="E224"/>
      <c r="F224"/>
      <c r="G224"/>
      <c r="H224"/>
      <c r="I224"/>
    </row>
    <row r="225" spans="1:9">
      <c r="A225"/>
      <c r="B225"/>
      <c r="C225"/>
      <c r="D225"/>
      <c r="E225"/>
      <c r="F225"/>
      <c r="G225"/>
      <c r="H225"/>
      <c r="I225"/>
    </row>
    <row r="226" spans="1:9">
      <c r="A226"/>
      <c r="B226"/>
      <c r="C226"/>
      <c r="D226"/>
      <c r="E226"/>
      <c r="F226"/>
      <c r="G226"/>
      <c r="H226"/>
      <c r="I226"/>
    </row>
    <row r="227" spans="1:9">
      <c r="A227"/>
      <c r="B227"/>
      <c r="C227"/>
      <c r="D227"/>
      <c r="E227"/>
      <c r="F227"/>
      <c r="G227"/>
      <c r="H227"/>
      <c r="I227"/>
    </row>
    <row r="228" spans="1:9">
      <c r="A228"/>
      <c r="B228"/>
      <c r="C228"/>
      <c r="D228"/>
      <c r="E228"/>
      <c r="F228"/>
      <c r="G228"/>
      <c r="H228"/>
      <c r="I228"/>
    </row>
    <row r="229" spans="1:9">
      <c r="A229"/>
      <c r="B229"/>
      <c r="C229"/>
      <c r="D229"/>
      <c r="E229"/>
      <c r="F229"/>
      <c r="G229"/>
      <c r="H229"/>
      <c r="I229"/>
    </row>
    <row r="230" spans="1:9">
      <c r="A230"/>
      <c r="B230"/>
      <c r="C230"/>
      <c r="D230"/>
      <c r="E230"/>
      <c r="F230"/>
      <c r="G230"/>
      <c r="H230"/>
      <c r="I230"/>
    </row>
    <row r="231" spans="1:9">
      <c r="A231"/>
      <c r="B231"/>
      <c r="C231"/>
      <c r="D231"/>
      <c r="E231"/>
      <c r="F231"/>
      <c r="G231"/>
      <c r="H231"/>
      <c r="I231"/>
    </row>
    <row r="232" spans="1:9">
      <c r="A232"/>
      <c r="B232"/>
      <c r="C232"/>
      <c r="D232"/>
      <c r="E232"/>
      <c r="F232"/>
      <c r="G232"/>
      <c r="H232"/>
      <c r="I232"/>
    </row>
    <row r="233" spans="1:9">
      <c r="A233"/>
      <c r="B233"/>
      <c r="C233"/>
      <c r="D233"/>
      <c r="E233"/>
      <c r="F233"/>
      <c r="G233"/>
      <c r="H233"/>
      <c r="I233"/>
    </row>
    <row r="234" spans="1:9">
      <c r="A234"/>
      <c r="B234"/>
      <c r="C234"/>
      <c r="D234"/>
      <c r="E234"/>
      <c r="F234"/>
      <c r="G234"/>
      <c r="H234"/>
      <c r="I234"/>
    </row>
    <row r="235" spans="1:9">
      <c r="A235"/>
      <c r="B235"/>
      <c r="C235"/>
      <c r="D235"/>
      <c r="E235"/>
      <c r="F235"/>
      <c r="G235"/>
      <c r="H235"/>
      <c r="I235"/>
    </row>
    <row r="236" spans="1:9">
      <c r="A236"/>
      <c r="B236"/>
      <c r="C236"/>
      <c r="D236"/>
      <c r="E236"/>
      <c r="F236"/>
      <c r="G236"/>
      <c r="H236"/>
      <c r="I236"/>
    </row>
    <row r="237" spans="1:9">
      <c r="A237"/>
      <c r="B237"/>
      <c r="C237"/>
      <c r="D237"/>
      <c r="E237"/>
      <c r="F237"/>
      <c r="G237"/>
      <c r="H237"/>
      <c r="I237"/>
    </row>
    <row r="238" spans="1:9">
      <c r="A238"/>
      <c r="B238"/>
      <c r="C238"/>
      <c r="D238"/>
      <c r="E238"/>
      <c r="F238"/>
      <c r="G238"/>
      <c r="H238"/>
      <c r="I238"/>
    </row>
    <row r="239" spans="1:9">
      <c r="A239"/>
      <c r="B239"/>
      <c r="C239"/>
      <c r="D239"/>
      <c r="E239"/>
      <c r="F239"/>
      <c r="G239"/>
      <c r="H239"/>
      <c r="I239"/>
    </row>
    <row r="240" spans="1:9">
      <c r="A240"/>
      <c r="B240"/>
      <c r="C240"/>
      <c r="D240"/>
      <c r="E240"/>
      <c r="F240"/>
      <c r="G240"/>
      <c r="H240"/>
      <c r="I240"/>
    </row>
    <row r="241" spans="1:9">
      <c r="A241"/>
      <c r="B241"/>
      <c r="C241"/>
      <c r="D241"/>
      <c r="E241"/>
      <c r="F241"/>
      <c r="G241"/>
      <c r="H241"/>
      <c r="I241"/>
    </row>
    <row r="242" spans="1:9">
      <c r="A242"/>
      <c r="B242"/>
      <c r="C242"/>
      <c r="D242"/>
      <c r="E242"/>
      <c r="F242"/>
      <c r="G242"/>
      <c r="H242"/>
      <c r="I242"/>
    </row>
    <row r="243" spans="1:9">
      <c r="A243"/>
      <c r="B243"/>
      <c r="C243"/>
      <c r="D243"/>
      <c r="E243"/>
      <c r="F243"/>
      <c r="G243"/>
      <c r="H243"/>
      <c r="I243"/>
    </row>
    <row r="244" spans="1:9">
      <c r="A244"/>
      <c r="B244"/>
      <c r="C244"/>
      <c r="D244"/>
      <c r="E244"/>
      <c r="F244"/>
      <c r="G244"/>
      <c r="H244"/>
      <c r="I244"/>
    </row>
    <row r="245" spans="1:9">
      <c r="A245"/>
      <c r="B245"/>
      <c r="C245"/>
      <c r="D245"/>
      <c r="E245"/>
      <c r="F245"/>
      <c r="G245"/>
      <c r="H245"/>
      <c r="I245"/>
    </row>
    <row r="246" spans="1:9">
      <c r="A246"/>
      <c r="B246"/>
      <c r="C246"/>
      <c r="D246"/>
      <c r="E246"/>
      <c r="F246"/>
      <c r="G246"/>
      <c r="H246"/>
      <c r="I246"/>
    </row>
    <row r="247" spans="1:9">
      <c r="A247"/>
      <c r="B247"/>
      <c r="C247"/>
      <c r="D247"/>
      <c r="E247"/>
      <c r="F247"/>
      <c r="G247"/>
      <c r="H247"/>
      <c r="I247"/>
    </row>
    <row r="248" spans="1:9">
      <c r="A248"/>
      <c r="B248"/>
      <c r="C248"/>
      <c r="D248"/>
      <c r="E248"/>
      <c r="F248"/>
      <c r="G248"/>
      <c r="H248"/>
      <c r="I248"/>
    </row>
    <row r="249" spans="1:9">
      <c r="A249"/>
      <c r="B249"/>
      <c r="C249"/>
      <c r="D249"/>
      <c r="E249"/>
      <c r="F249"/>
      <c r="G249"/>
      <c r="H249"/>
      <c r="I249"/>
    </row>
    <row r="250" spans="1:9">
      <c r="A250"/>
      <c r="B250"/>
      <c r="C250"/>
      <c r="D250"/>
      <c r="E250"/>
      <c r="F250"/>
      <c r="G250"/>
      <c r="H250"/>
      <c r="I250"/>
    </row>
  </sheetData>
  <mergeCells count="72">
    <mergeCell ref="B3:I3"/>
    <mergeCell ref="B4:B5"/>
    <mergeCell ref="C4:E5"/>
    <mergeCell ref="F4:F5"/>
    <mergeCell ref="G4:G5"/>
    <mergeCell ref="H4:I4"/>
    <mergeCell ref="A1:I1"/>
    <mergeCell ref="C61:E61"/>
    <mergeCell ref="C62:E62"/>
    <mergeCell ref="D38:E42"/>
    <mergeCell ref="D25:E25"/>
    <mergeCell ref="D22:E22"/>
    <mergeCell ref="D23:E23"/>
    <mergeCell ref="D24:E24"/>
    <mergeCell ref="D15:E15"/>
    <mergeCell ref="D16:E16"/>
    <mergeCell ref="D17:E17"/>
    <mergeCell ref="D18:E18"/>
    <mergeCell ref="D19:E19"/>
    <mergeCell ref="C6:C12"/>
    <mergeCell ref="D6:D7"/>
    <mergeCell ref="D8:E8"/>
    <mergeCell ref="B104:B127"/>
    <mergeCell ref="D30:E30"/>
    <mergeCell ref="B95:B98"/>
    <mergeCell ref="C38:C48"/>
    <mergeCell ref="D49:E51"/>
    <mergeCell ref="C116:E127"/>
    <mergeCell ref="D58:E58"/>
    <mergeCell ref="D21:E21"/>
    <mergeCell ref="D56:E56"/>
    <mergeCell ref="D57:E57"/>
    <mergeCell ref="D26:E26"/>
    <mergeCell ref="C99:E99"/>
    <mergeCell ref="C27:C31"/>
    <mergeCell ref="D55:E55"/>
    <mergeCell ref="C100:E100"/>
    <mergeCell ref="C13:C22"/>
    <mergeCell ref="E34:E36"/>
    <mergeCell ref="C55:C58"/>
    <mergeCell ref="D27:E29"/>
    <mergeCell ref="D20:E20"/>
    <mergeCell ref="B27:B58"/>
    <mergeCell ref="C65:E65"/>
    <mergeCell ref="D34:D37"/>
    <mergeCell ref="C32:C37"/>
    <mergeCell ref="C59:E59"/>
    <mergeCell ref="C60:E60"/>
    <mergeCell ref="D32:E32"/>
    <mergeCell ref="D33:E33"/>
    <mergeCell ref="D43:E48"/>
    <mergeCell ref="B6:B26"/>
    <mergeCell ref="D9:E9"/>
    <mergeCell ref="D10:E10"/>
    <mergeCell ref="D11:E11"/>
    <mergeCell ref="D12:E12"/>
    <mergeCell ref="C23:C26"/>
    <mergeCell ref="B66:B94"/>
    <mergeCell ref="C104:E115"/>
    <mergeCell ref="C103:E103"/>
    <mergeCell ref="D31:E31"/>
    <mergeCell ref="C95:E95"/>
    <mergeCell ref="C96:E96"/>
    <mergeCell ref="C63:E64"/>
    <mergeCell ref="C102:E102"/>
    <mergeCell ref="C49:C54"/>
    <mergeCell ref="C101:E101"/>
    <mergeCell ref="B59:B64"/>
    <mergeCell ref="D52:E54"/>
    <mergeCell ref="C66:E94"/>
    <mergeCell ref="C97:E97"/>
    <mergeCell ref="C98:E98"/>
  </mergeCells>
  <phoneticPr fontId="1" type="noConversion"/>
  <pageMargins left="0.25" right="0.25" top="0.75" bottom="0.75" header="0.3" footer="0.3"/>
  <pageSetup paperSize="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표지</vt:lpstr>
      <vt:lpstr>소프트웨어 입력 요구사항 사양서</vt:lpstr>
      <vt:lpstr>소프트웨어 입력 요구사항 사양서_변경 비교</vt:lpstr>
      <vt:lpstr>'소프트웨어 입력 요구사항 사양서'!Print_Area</vt:lpstr>
      <vt:lpstr>'소프트웨어 입력 요구사항 사양서_변경 비교'!Print_Area</vt:lpstr>
      <vt:lpstr>'소프트웨어 입력 요구사항 사양서_변경 비교'!Print_Titles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김은수</cp:lastModifiedBy>
  <cp:lastPrinted>2024-11-25T16:29:04Z</cp:lastPrinted>
  <dcterms:created xsi:type="dcterms:W3CDTF">2015-06-05T18:19:34Z</dcterms:created>
  <dcterms:modified xsi:type="dcterms:W3CDTF">2026-09-29T05:09:07Z</dcterms:modified>
</cp:coreProperties>
</file>