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johnnyTodoc\(주)토닥 Dropbox\인공와우\DHF-인공와우\01_외부기\TD20B_A_EXT\000_완제품\03_설계 출력\SW\펌웨어\"/>
    </mc:Choice>
  </mc:AlternateContent>
  <xr:revisionPtr revIDLastSave="0" documentId="13_ncr:1_{90849FE4-D156-43D9-9821-D57F788B5685}" xr6:coauthVersionLast="47" xr6:coauthVersionMax="47" xr10:uidLastSave="{00000000-0000-0000-0000-000000000000}"/>
  <bookViews>
    <workbookView xWindow="3420" yWindow="3420" windowWidth="21370" windowHeight="14330" activeTab="1" xr2:uid="{00000000-000D-0000-FFFF-FFFF00000000}"/>
  </bookViews>
  <sheets>
    <sheet name="표지" sheetId="1" r:id="rId1"/>
    <sheet name="기준서_유닛 검증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12" i="9" l="1"/>
  <c r="K215" i="9"/>
  <c r="D215" i="9"/>
  <c r="K214" i="9"/>
  <c r="D214" i="9"/>
  <c r="K213" i="9"/>
  <c r="D213" i="9"/>
  <c r="D212" i="9"/>
  <c r="K211" i="9"/>
  <c r="D211" i="9"/>
  <c r="K210" i="9"/>
  <c r="D210" i="9"/>
  <c r="K209" i="9"/>
  <c r="D209" i="9"/>
  <c r="K208" i="9"/>
  <c r="D208" i="9"/>
  <c r="K207" i="9"/>
  <c r="D207" i="9"/>
  <c r="K206" i="9"/>
  <c r="D206" i="9"/>
  <c r="K205" i="9"/>
  <c r="D205" i="9"/>
  <c r="K204" i="9"/>
  <c r="D204" i="9"/>
  <c r="K203" i="9"/>
  <c r="D203" i="9"/>
  <c r="K202" i="9"/>
  <c r="D202" i="9"/>
  <c r="K201" i="9"/>
  <c r="D201" i="9"/>
  <c r="K200" i="9"/>
  <c r="D200" i="9"/>
  <c r="K199" i="9"/>
  <c r="D199" i="9"/>
  <c r="K198" i="9"/>
  <c r="D198" i="9"/>
  <c r="K197" i="9"/>
  <c r="D197" i="9"/>
  <c r="K196" i="9"/>
  <c r="D196" i="9"/>
  <c r="K195" i="9"/>
  <c r="D195" i="9"/>
  <c r="K194" i="9"/>
  <c r="D194" i="9"/>
  <c r="K193" i="9"/>
  <c r="D193" i="9"/>
  <c r="K192" i="9"/>
  <c r="D192" i="9"/>
  <c r="K191" i="9"/>
  <c r="D191" i="9"/>
  <c r="K190" i="9"/>
  <c r="D190" i="9"/>
  <c r="K189" i="9"/>
  <c r="D189" i="9"/>
  <c r="K188" i="9"/>
  <c r="D188" i="9"/>
  <c r="K187" i="9"/>
  <c r="D187" i="9"/>
  <c r="K186" i="9"/>
  <c r="D186" i="9"/>
  <c r="K185" i="9"/>
  <c r="D185" i="9"/>
  <c r="K184" i="9"/>
  <c r="D184" i="9"/>
  <c r="K183" i="9"/>
  <c r="D183" i="9"/>
  <c r="K182" i="9"/>
  <c r="D182" i="9"/>
  <c r="K181" i="9"/>
  <c r="D181" i="9"/>
  <c r="K180" i="9"/>
  <c r="D180" i="9"/>
  <c r="K179" i="9"/>
  <c r="D179" i="9"/>
  <c r="K178" i="9"/>
  <c r="D178" i="9"/>
  <c r="K177" i="9"/>
  <c r="D177" i="9"/>
  <c r="K176" i="9"/>
  <c r="D176" i="9"/>
  <c r="K175" i="9"/>
  <c r="D175" i="9"/>
  <c r="K174" i="9"/>
  <c r="D174" i="9"/>
  <c r="K173" i="9"/>
  <c r="D173" i="9"/>
  <c r="K172" i="9"/>
  <c r="D172" i="9"/>
  <c r="K171" i="9"/>
  <c r="D171" i="9"/>
  <c r="K170" i="9"/>
  <c r="D170" i="9"/>
  <c r="K169" i="9"/>
  <c r="D169" i="9"/>
  <c r="K168" i="9"/>
  <c r="D168" i="9"/>
  <c r="K167" i="9"/>
  <c r="D167" i="9"/>
  <c r="K166" i="9"/>
  <c r="D166" i="9"/>
  <c r="K165" i="9"/>
  <c r="D165" i="9"/>
  <c r="K164" i="9"/>
  <c r="D164" i="9"/>
  <c r="K163" i="9"/>
  <c r="D163" i="9"/>
  <c r="K162" i="9"/>
  <c r="D162" i="9"/>
  <c r="K161" i="9"/>
  <c r="D161" i="9"/>
  <c r="K160" i="9"/>
  <c r="D160" i="9"/>
  <c r="K159" i="9"/>
  <c r="D159" i="9"/>
  <c r="K158" i="9"/>
  <c r="D158" i="9"/>
  <c r="K157" i="9"/>
  <c r="D157" i="9"/>
  <c r="K156" i="9"/>
  <c r="D156" i="9"/>
  <c r="K155" i="9"/>
  <c r="D155" i="9"/>
  <c r="K154" i="9"/>
  <c r="D154" i="9"/>
  <c r="K153" i="9"/>
  <c r="D153" i="9"/>
  <c r="K152" i="9"/>
  <c r="D152" i="9"/>
  <c r="K151" i="9"/>
  <c r="D151" i="9"/>
  <c r="K150" i="9"/>
  <c r="D150" i="9"/>
  <c r="K149" i="9"/>
  <c r="D149" i="9"/>
  <c r="K148" i="9"/>
  <c r="D148" i="9"/>
  <c r="K147" i="9"/>
  <c r="D147" i="9"/>
  <c r="K146" i="9"/>
  <c r="D146" i="9"/>
  <c r="K145" i="9"/>
  <c r="D145" i="9"/>
  <c r="K144" i="9"/>
  <c r="D144" i="9"/>
  <c r="K143" i="9"/>
  <c r="D143" i="9"/>
  <c r="K142" i="9"/>
  <c r="D142" i="9"/>
  <c r="K141" i="9"/>
  <c r="D141" i="9"/>
  <c r="K140" i="9"/>
  <c r="D140" i="9"/>
  <c r="K139" i="9"/>
  <c r="D139" i="9"/>
  <c r="K138" i="9"/>
  <c r="D138" i="9"/>
  <c r="K137" i="9"/>
  <c r="D137" i="9"/>
  <c r="K136" i="9"/>
  <c r="D136" i="9"/>
  <c r="K135" i="9"/>
  <c r="D135" i="9"/>
  <c r="K134" i="9"/>
  <c r="D134" i="9"/>
  <c r="K133" i="9"/>
  <c r="D133" i="9"/>
  <c r="K132" i="9"/>
  <c r="D132" i="9"/>
  <c r="K131" i="9"/>
  <c r="D131" i="9"/>
  <c r="K130" i="9"/>
  <c r="D130" i="9"/>
  <c r="K129" i="9"/>
  <c r="D129" i="9"/>
  <c r="K128" i="9"/>
  <c r="D128" i="9"/>
  <c r="K127" i="9"/>
  <c r="D127" i="9"/>
  <c r="K126" i="9"/>
  <c r="D126" i="9"/>
  <c r="K125" i="9"/>
  <c r="D125" i="9"/>
  <c r="K124" i="9"/>
  <c r="D124" i="9"/>
  <c r="K123" i="9"/>
  <c r="D123" i="9"/>
  <c r="K122" i="9"/>
  <c r="D122" i="9"/>
  <c r="K121" i="9"/>
  <c r="D121" i="9"/>
  <c r="K120" i="9"/>
  <c r="D120" i="9"/>
  <c r="K119" i="9"/>
  <c r="D119" i="9"/>
  <c r="K118" i="9"/>
  <c r="D118" i="9"/>
  <c r="K117" i="9"/>
  <c r="D117" i="9"/>
  <c r="K116" i="9"/>
  <c r="D116" i="9"/>
  <c r="K115" i="9"/>
  <c r="D115" i="9"/>
  <c r="K114" i="9"/>
  <c r="D114" i="9"/>
  <c r="K113" i="9"/>
  <c r="D113" i="9"/>
  <c r="K112" i="9"/>
  <c r="D112" i="9"/>
  <c r="K111" i="9"/>
  <c r="D111" i="9"/>
  <c r="K110" i="9"/>
  <c r="D110" i="9"/>
  <c r="K109" i="9"/>
  <c r="D109" i="9"/>
  <c r="K108" i="9"/>
  <c r="D108" i="9"/>
  <c r="K107" i="9"/>
  <c r="D107" i="9"/>
  <c r="K106" i="9"/>
  <c r="D106" i="9"/>
  <c r="K105" i="9"/>
  <c r="D105" i="9"/>
  <c r="K104" i="9"/>
  <c r="D104" i="9"/>
  <c r="K103" i="9"/>
  <c r="D103" i="9"/>
  <c r="K102" i="9"/>
  <c r="D102" i="9"/>
  <c r="K101" i="9"/>
  <c r="D101" i="9"/>
  <c r="K100" i="9"/>
  <c r="D100" i="9"/>
  <c r="K99" i="9"/>
  <c r="D99" i="9"/>
  <c r="K98" i="9"/>
  <c r="D98" i="9"/>
  <c r="K97" i="9"/>
  <c r="D97" i="9"/>
  <c r="K96" i="9"/>
  <c r="D96" i="9"/>
  <c r="K95" i="9"/>
  <c r="D95" i="9"/>
  <c r="K94" i="9"/>
  <c r="D94" i="9"/>
  <c r="K93" i="9"/>
  <c r="D93" i="9"/>
  <c r="K92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K76" i="9"/>
  <c r="D76" i="9"/>
  <c r="K75" i="9"/>
  <c r="D75" i="9"/>
  <c r="K74" i="9"/>
  <c r="D74" i="9"/>
  <c r="K73" i="9"/>
  <c r="D73" i="9"/>
  <c r="K72" i="9"/>
  <c r="D72" i="9"/>
  <c r="K71" i="9"/>
  <c r="D71" i="9"/>
  <c r="K70" i="9"/>
  <c r="D70" i="9"/>
  <c r="K69" i="9"/>
  <c r="D69" i="9"/>
  <c r="K68" i="9"/>
  <c r="D68" i="9"/>
  <c r="K67" i="9"/>
  <c r="D67" i="9"/>
  <c r="K66" i="9"/>
  <c r="D66" i="9"/>
  <c r="K65" i="9"/>
  <c r="D65" i="9"/>
  <c r="K64" i="9"/>
  <c r="D64" i="9"/>
  <c r="K63" i="9"/>
  <c r="D63" i="9"/>
  <c r="K62" i="9"/>
  <c r="D62" i="9"/>
  <c r="K61" i="9"/>
  <c r="D61" i="9"/>
  <c r="K60" i="9"/>
  <c r="D60" i="9"/>
  <c r="K59" i="9"/>
  <c r="D59" i="9"/>
  <c r="K58" i="9"/>
  <c r="D58" i="9"/>
  <c r="K57" i="9"/>
  <c r="D57" i="9"/>
  <c r="K56" i="9"/>
  <c r="D56" i="9"/>
  <c r="K55" i="9"/>
  <c r="D55" i="9"/>
  <c r="K54" i="9"/>
  <c r="D54" i="9"/>
  <c r="K53" i="9"/>
  <c r="D53" i="9"/>
  <c r="K52" i="9"/>
  <c r="D52" i="9"/>
  <c r="K51" i="9"/>
  <c r="D51" i="9"/>
  <c r="D50" i="9"/>
  <c r="K49" i="9"/>
  <c r="D49" i="9"/>
  <c r="K48" i="9"/>
  <c r="D48" i="9"/>
  <c r="K47" i="9"/>
  <c r="D47" i="9"/>
  <c r="K46" i="9"/>
  <c r="D46" i="9"/>
  <c r="K45" i="9"/>
  <c r="D45" i="9"/>
  <c r="K44" i="9"/>
  <c r="D44" i="9"/>
  <c r="K43" i="9"/>
  <c r="D43" i="9"/>
  <c r="K42" i="9"/>
  <c r="D42" i="9"/>
  <c r="K41" i="9"/>
  <c r="D41" i="9"/>
  <c r="K40" i="9"/>
  <c r="D40" i="9"/>
  <c r="K39" i="9"/>
  <c r="D39" i="9"/>
  <c r="K38" i="9"/>
  <c r="D38" i="9"/>
  <c r="K37" i="9"/>
  <c r="D37" i="9"/>
  <c r="K36" i="9"/>
  <c r="D36" i="9"/>
  <c r="K35" i="9"/>
  <c r="D35" i="9"/>
  <c r="K34" i="9"/>
  <c r="D34" i="9"/>
  <c r="K33" i="9"/>
  <c r="D33" i="9"/>
  <c r="K32" i="9"/>
  <c r="D32" i="9"/>
  <c r="K31" i="9"/>
  <c r="D31" i="9"/>
  <c r="D30" i="9"/>
</calcChain>
</file>

<file path=xl/sharedStrings.xml><?xml version="1.0" encoding="utf-8"?>
<sst xmlns="http://schemas.openxmlformats.org/spreadsheetml/2006/main" count="1214" uniqueCount="475">
  <si>
    <t>문서번호</t>
    <phoneticPr fontId="3" type="noConversion"/>
  </si>
  <si>
    <t>버전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</si>
  <si>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</si>
  <si>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</si>
  <si>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</si>
  <si>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서명</t>
    <phoneticPr fontId="3" type="noConversion"/>
  </si>
  <si>
    <t>개정이력</t>
    <phoneticPr fontId="3" type="noConversion"/>
  </si>
  <si>
    <t>개정번호</t>
    <phoneticPr fontId="3" type="noConversion"/>
  </si>
  <si>
    <t>개정날짜</t>
    <phoneticPr fontId="3" type="noConversion"/>
  </si>
  <si>
    <t>개정내용</t>
    <phoneticPr fontId="3" type="noConversion"/>
  </si>
  <si>
    <t>TEST ID</t>
    <phoneticPr fontId="1" type="noConversion"/>
  </si>
  <si>
    <t>방법</t>
    <phoneticPr fontId="1" type="noConversion"/>
  </si>
  <si>
    <t>설명</t>
    <phoneticPr fontId="1" type="noConversion"/>
  </si>
  <si>
    <t>NA</t>
    <phoneticPr fontId="1" type="noConversion"/>
  </si>
  <si>
    <t>통과 기준</t>
    <phoneticPr fontId="1" type="noConversion"/>
  </si>
  <si>
    <t>가정 및 제한 조건</t>
    <phoneticPr fontId="1" type="noConversion"/>
  </si>
  <si>
    <t>시험 절차</t>
    <phoneticPr fontId="1" type="noConversion"/>
  </si>
  <si>
    <t>T</t>
    <phoneticPr fontId="1" type="noConversion"/>
  </si>
  <si>
    <t>D</t>
    <phoneticPr fontId="1" type="noConversion"/>
  </si>
  <si>
    <t>A</t>
    <phoneticPr fontId="1" type="noConversion"/>
  </si>
  <si>
    <t>상세 설계 ID</t>
    <phoneticPr fontId="1" type="noConversion"/>
  </si>
  <si>
    <t>코드 분석</t>
    <phoneticPr fontId="1" type="noConversion"/>
  </si>
  <si>
    <t>- DIO 설정 코드 구현</t>
    <phoneticPr fontId="1" type="noConversion"/>
  </si>
  <si>
    <t>타이머 중지</t>
    <phoneticPr fontId="1" type="noConversion"/>
  </si>
  <si>
    <t>인터럽트 초기화</t>
    <phoneticPr fontId="1" type="noConversion"/>
  </si>
  <si>
    <t>저전력 모드 비활성화</t>
    <phoneticPr fontId="1" type="noConversion"/>
  </si>
  <si>
    <t>전원 안정화 대기</t>
    <phoneticPr fontId="1" type="noConversion"/>
  </si>
  <si>
    <t>MCU 리셋 및 중지</t>
    <phoneticPr fontId="1" type="noConversion"/>
  </si>
  <si>
    <t>동작 클럭 설정</t>
    <phoneticPr fontId="1" type="noConversion"/>
  </si>
  <si>
    <t>메인 MCU 초기화</t>
    <phoneticPr fontId="1" type="noConversion"/>
  </si>
  <si>
    <t>입/출력단 비활성화</t>
    <phoneticPr fontId="1" type="noConversion"/>
  </si>
  <si>
    <t>FIFO 초기화</t>
    <phoneticPr fontId="1" type="noConversion"/>
  </si>
  <si>
    <t>IOC 설정</t>
    <phoneticPr fontId="1" type="noConversion"/>
  </si>
  <si>
    <t>오디오 MUX 설정</t>
    <phoneticPr fontId="1" type="noConversion"/>
  </si>
  <si>
    <t>DIO 설정  1차</t>
    <phoneticPr fontId="1" type="noConversion"/>
  </si>
  <si>
    <t>MCU 시작</t>
    <phoneticPr fontId="1" type="noConversion"/>
  </si>
  <si>
    <t>인터럽트 설정 2차</t>
    <phoneticPr fontId="1" type="noConversion"/>
  </si>
  <si>
    <t>CORE</t>
    <phoneticPr fontId="1" type="noConversion"/>
  </si>
  <si>
    <t>ADC 설정</t>
    <phoneticPr fontId="1" type="noConversion"/>
  </si>
  <si>
    <t>DAC 설정</t>
    <phoneticPr fontId="1" type="noConversion"/>
  </si>
  <si>
    <t>Hear Core, Fuction chain 활성화</t>
    <phoneticPr fontId="1" type="noConversion"/>
  </si>
  <si>
    <t>인터럽트 설정 1차</t>
    <phoneticPr fontId="1" type="noConversion"/>
  </si>
  <si>
    <t>DIO 설정  2차</t>
    <phoneticPr fontId="1" type="noConversion"/>
  </si>
  <si>
    <t>메모리 초기화 대기</t>
    <phoneticPr fontId="1" type="noConversion"/>
  </si>
  <si>
    <t>DIO 설정 3차</t>
    <phoneticPr fontId="1" type="noConversion"/>
  </si>
  <si>
    <t>인터럽트 서비스 루틴</t>
    <phoneticPr fontId="1" type="noConversion"/>
  </si>
  <si>
    <t>저전력 모드전환</t>
    <phoneticPr fontId="1" type="noConversion"/>
  </si>
  <si>
    <t>windowing 계수 읽기</t>
    <phoneticPr fontId="1" type="noConversion"/>
  </si>
  <si>
    <t xml:space="preserve">내부기 정보 읽기 </t>
    <phoneticPr fontId="1" type="noConversion"/>
  </si>
  <si>
    <t>배터리 전압 교정값 읽기</t>
    <phoneticPr fontId="1" type="noConversion"/>
  </si>
  <si>
    <t>맵 정보 읽기</t>
    <phoneticPr fontId="1" type="noConversion"/>
  </si>
  <si>
    <t>사용자 설정값 읽기</t>
    <phoneticPr fontId="1" type="noConversion"/>
  </si>
  <si>
    <t>매핑 데이터 읽기</t>
    <phoneticPr fontId="1" type="noConversion"/>
  </si>
  <si>
    <t>통과 대역 밴드 읽기</t>
    <phoneticPr fontId="1" type="noConversion"/>
  </si>
  <si>
    <t>사용자 설정값 저장</t>
    <phoneticPr fontId="1" type="noConversion"/>
  </si>
  <si>
    <t>매핑 데이터 삭제, 매핑 통신</t>
    <phoneticPr fontId="1" type="noConversion"/>
  </si>
  <si>
    <t>매핑 데이터 읽기, 매핑 통신</t>
    <phoneticPr fontId="1" type="noConversion"/>
  </si>
  <si>
    <t>배터리 잔량 업데이트</t>
    <phoneticPr fontId="1" type="noConversion"/>
  </si>
  <si>
    <t>가속도 센서 입력 업데이트</t>
    <phoneticPr fontId="1" type="noConversion"/>
  </si>
  <si>
    <t>USB 커넥터용 DIO 설정</t>
    <phoneticPr fontId="1" type="noConversion"/>
  </si>
  <si>
    <t>가속도 센서 및 PCM용 DIO 설정</t>
    <phoneticPr fontId="1" type="noConversion"/>
  </si>
  <si>
    <t>LSAD 설정</t>
    <phoneticPr fontId="1" type="noConversion"/>
  </si>
  <si>
    <t>매핑 데이터 저장, 매핑 통신</t>
    <phoneticPr fontId="1" type="noConversion"/>
  </si>
  <si>
    <t>Module</t>
    <phoneticPr fontId="1" type="noConversion"/>
  </si>
  <si>
    <t>텔레코일 입력 절대값</t>
    <phoneticPr fontId="1" type="noConversion"/>
  </si>
  <si>
    <t>텔레 코일 입력 감지</t>
    <phoneticPr fontId="1" type="noConversion"/>
  </si>
  <si>
    <t>- 이어폰이 근접하면 텔레코일 감지 플래그가 활성화 되고, 이어폰이 멀어지면 텔레코일 감지 플래그가 비활성화 되어야한다.</t>
    <phoneticPr fontId="1" type="noConversion"/>
  </si>
  <si>
    <t>오디오 신호 혼합</t>
    <phoneticPr fontId="1" type="noConversion"/>
  </si>
  <si>
    <t>- 텔레코일 사용 플래그가 활성화 된 경우, 스피커가 텔레코일 가까이 가면 음악과 마이크의 주변소리가 같이 들려야 하며, 떨어지면 마이크의 주변 소리만 들려야 한다.
- 텔레코일 사용 플래그가 비활성화 된 경우, 스피커의 거리에 상관없이 마이크 주번 소리만 이어폰으로 들려야한다.</t>
    <phoneticPr fontId="1" type="noConversion"/>
  </si>
  <si>
    <t>- 입력 테스트 벡터의 절대값이 확인되어야한다.</t>
    <phoneticPr fontId="1" type="noConversion"/>
  </si>
  <si>
    <t>해당 유닛을 실행시키고 디버깅용 중단점을 적용하여 출력 데이터를 데이터를 확인한다.</t>
    <phoneticPr fontId="1" type="noConversion"/>
  </si>
  <si>
    <t>AGC 입력 최대 값</t>
    <phoneticPr fontId="1" type="noConversion"/>
  </si>
  <si>
    <t>- 입력 테스트 벡터의 최대값이 확인되어야한다.</t>
    <phoneticPr fontId="1" type="noConversion"/>
  </si>
  <si>
    <t>AGC 적용</t>
    <phoneticPr fontId="1" type="noConversion"/>
  </si>
  <si>
    <t>입력 데이터 업데이트</t>
    <phoneticPr fontId="1" type="noConversion"/>
  </si>
  <si>
    <t>- 데이터 업데이트 확인</t>
    <phoneticPr fontId="1" type="noConversion"/>
  </si>
  <si>
    <t>FFT 변환 및 주파수 영역 크기 구하기</t>
    <phoneticPr fontId="1" type="noConversion"/>
  </si>
  <si>
    <t>- 주파수 영역의 크기기 테스트 벡터 출력과 비슷한 양상을 보여야한다.(고정소수점 연산 고려)</t>
    <phoneticPr fontId="1" type="noConversion"/>
  </si>
  <si>
    <t>- AGC 출력 데이터가 테스트 벡터 출력과 비슷한 양상을 보여야 한다.(고정소수점 연산 고려)</t>
    <phoneticPr fontId="1" type="noConversion"/>
  </si>
  <si>
    <t>시간 영역의 크기 값 구하기</t>
    <phoneticPr fontId="1" type="noConversion"/>
  </si>
  <si>
    <t>- 시간 영역의 주파수 밴드별 크기가 테스트 벡터 출력과 비슷한 양상을 보여야한다.(고정소수점 연산 고려)</t>
    <phoneticPr fontId="1" type="noConversion"/>
  </si>
  <si>
    <t xml:space="preserve">비선형 매핑 </t>
    <phoneticPr fontId="1" type="noConversion"/>
  </si>
  <si>
    <t>- 비선형 매핑(전기 자극 레벨)이 테스트 벡터 출력과 비슷한 양상을 보여야한다.(고정소수점 연산 고려)</t>
    <phoneticPr fontId="1" type="noConversion"/>
  </si>
  <si>
    <t>신호처리용 계수 전처리, C 값 계산</t>
    <phoneticPr fontId="1" type="noConversion"/>
  </si>
  <si>
    <t>신호처리용 계수 전처리, 로그 매핑 계수 계산</t>
    <phoneticPr fontId="1" type="noConversion"/>
  </si>
  <si>
    <t>- 자극볼륨이 적용된 C 값이 테스트 벡터 출력과 비슷한 양상을 보여야한다.(고정소수점 연산 고려)</t>
    <phoneticPr fontId="1" type="noConversion"/>
  </si>
  <si>
    <t>- 로그 매핑 계수 A, B 값이 테스트 벡터 출력과 비슷한 양상을 보여야한다.(고정소수점 연산 고려)</t>
    <phoneticPr fontId="1" type="noConversion"/>
  </si>
  <si>
    <t>분석 대역별 대표값 구하기</t>
    <phoneticPr fontId="1" type="noConversion"/>
  </si>
  <si>
    <t>실시간 자극 출력 PCM 생성</t>
    <phoneticPr fontId="1" type="noConversion"/>
  </si>
  <si>
    <t>내부기 연결 검사 PCM 생성</t>
    <phoneticPr fontId="1" type="noConversion"/>
  </si>
  <si>
    <t>- PCM 출력 버퍼 복사본의 데이터에서 자극 펄스 파라미터 , 자극 레벨이 확인되어야한다.
- 설정된 순서에 맞게 자극 채널 출력이 확인되어야 한다.</t>
    <phoneticPr fontId="1" type="noConversion"/>
  </si>
  <si>
    <t>- 디버깅 모드
- 입력 데이터를 테스트 벡터로 대체</t>
    <phoneticPr fontId="1" type="noConversion"/>
  </si>
  <si>
    <t>- 디버깅 모드
- 피에조가 제거된 스피커를 사용하여 전자기장만을 발생시킨다.</t>
    <phoneticPr fontId="1" type="noConversion"/>
  </si>
  <si>
    <t>- 디버깅 모드
- 입력 데이터를 테스트 벡터로 대체
- 신호처리 계수 전처리 유닛들의 검증 이후</t>
    <phoneticPr fontId="1" type="noConversion"/>
  </si>
  <si>
    <t>- 디버깅 모드
- 자극 펄스 파라미터 및 자극 레벨 테스트 벡터로 대체
- PCM 출력 버퍼 복사본 생성</t>
    <phoneticPr fontId="1" type="noConversion"/>
  </si>
  <si>
    <t>- 디버깅 모드
- PCM 출력 버퍼 복사본 생성</t>
    <phoneticPr fontId="1" type="noConversion"/>
  </si>
  <si>
    <t>- 카운터에 맞게 분기 되어야 하며, PCM 출력 버퍼 복사본의 데이터가 설계 사양서와 동일해야한다.</t>
    <phoneticPr fontId="1" type="noConversion"/>
  </si>
  <si>
    <t>내부기 
실행 
제어
모듈</t>
    <phoneticPr fontId="1" type="noConversion"/>
  </si>
  <si>
    <t>신호처리
모듈</t>
    <phoneticPr fontId="1" type="noConversion"/>
  </si>
  <si>
    <t>시스템
제어
모듈</t>
    <phoneticPr fontId="1" type="noConversion"/>
  </si>
  <si>
    <t>CFX</t>
    <phoneticPr fontId="1" type="noConversion"/>
  </si>
  <si>
    <t>LED 출력 끄기</t>
    <phoneticPr fontId="1" type="noConversion"/>
  </si>
  <si>
    <t>- LED 끄기 구현</t>
    <phoneticPr fontId="1" type="noConversion"/>
  </si>
  <si>
    <t>메모리 에러 LED  출력</t>
    <phoneticPr fontId="1" type="noConversion"/>
  </si>
  <si>
    <t>NRF 리셋</t>
    <phoneticPr fontId="1" type="noConversion"/>
  </si>
  <si>
    <t>인터럽트 리셋</t>
    <phoneticPr fontId="1" type="noConversion"/>
  </si>
  <si>
    <t>DMA 리셋</t>
    <phoneticPr fontId="1" type="noConversion"/>
  </si>
  <si>
    <t>I2C 설정</t>
    <phoneticPr fontId="1" type="noConversion"/>
  </si>
  <si>
    <t>SPI 설정</t>
    <phoneticPr fontId="1" type="noConversion"/>
  </si>
  <si>
    <t>주기 반복용 인터럽트 설정</t>
    <phoneticPr fontId="1" type="noConversion"/>
  </si>
  <si>
    <t>인터럽트 활성화</t>
    <phoneticPr fontId="1" type="noConversion"/>
  </si>
  <si>
    <t>PMIC 전원 끔</t>
    <phoneticPr fontId="1" type="noConversion"/>
  </si>
  <si>
    <t>가속도 센서 초기화</t>
    <phoneticPr fontId="1" type="noConversion"/>
  </si>
  <si>
    <t>CFX 초기화 에러 LED 출력</t>
    <phoneticPr fontId="1" type="noConversion"/>
  </si>
  <si>
    <t>배터리 모니터링 경계 값</t>
    <phoneticPr fontId="1" type="noConversion"/>
  </si>
  <si>
    <t>에러 플래그 제거</t>
    <phoneticPr fontId="1" type="noConversion"/>
  </si>
  <si>
    <t>인터럽트 서비스 루틴, I2C</t>
    <phoneticPr fontId="1" type="noConversion"/>
  </si>
  <si>
    <t>인터럽트 서비스 루틴, SPI 에러</t>
    <phoneticPr fontId="1" type="noConversion"/>
  </si>
  <si>
    <t>인터럽트 서비스 루틴, DMA 0</t>
    <phoneticPr fontId="1" type="noConversion"/>
  </si>
  <si>
    <t>인터럽트 서비스 루틴, DMA 1</t>
    <phoneticPr fontId="1" type="noConversion"/>
  </si>
  <si>
    <t xml:space="preserve">에러 확인 </t>
    <phoneticPr fontId="1" type="noConversion"/>
  </si>
  <si>
    <t>LED 출력 상태 확인</t>
    <phoneticPr fontId="1" type="noConversion"/>
  </si>
  <si>
    <t>사용자 인터페이스 제어</t>
    <phoneticPr fontId="1" type="noConversion"/>
  </si>
  <si>
    <t xml:space="preserve">맵 번호 업데이트 </t>
    <phoneticPr fontId="1" type="noConversion"/>
  </si>
  <si>
    <t xml:space="preserve">LED 패턴 출력 </t>
    <phoneticPr fontId="1" type="noConversion"/>
  </si>
  <si>
    <t xml:space="preserve">PMIC On/Off </t>
    <phoneticPr fontId="1" type="noConversion"/>
  </si>
  <si>
    <t>NRF On/Off</t>
    <phoneticPr fontId="1" type="noConversion"/>
  </si>
  <si>
    <t>공유메모리 접근, USB 커넥터 상태 읽기</t>
    <phoneticPr fontId="1" type="noConversion"/>
  </si>
  <si>
    <t>공유메모리 접근, 전원 버튼 상태 읽기</t>
    <phoneticPr fontId="1" type="noConversion"/>
  </si>
  <si>
    <t>공유메모리 접근, PMIC On/Off</t>
    <phoneticPr fontId="1" type="noConversion"/>
  </si>
  <si>
    <t>공유메모리 접근, 저전력 모드 진입</t>
    <phoneticPr fontId="1" type="noConversion"/>
  </si>
  <si>
    <t>공유메모리 접근, 배터리 전압 교정값 읽기</t>
    <phoneticPr fontId="1" type="noConversion"/>
  </si>
  <si>
    <t>공유메모리 접근, 배터리 전압 값 읽기</t>
    <phoneticPr fontId="1" type="noConversion"/>
  </si>
  <si>
    <t>공유메모리 접근, PCM 출력 모드 변경</t>
    <phoneticPr fontId="1" type="noConversion"/>
  </si>
  <si>
    <t>공유메모리 접근, next PCM 출력 모드 변경</t>
    <phoneticPr fontId="1" type="noConversion"/>
  </si>
  <si>
    <t>공유메모리 접근, PCM 출력 모드 읽기</t>
    <phoneticPr fontId="1" type="noConversion"/>
  </si>
  <si>
    <t>공유메모리 접근, 내부기 연결 검사용 PCM 출력 상태 읽기</t>
    <phoneticPr fontId="1" type="noConversion"/>
  </si>
  <si>
    <t>공유메모리 접근, 내부기 연결 검사용 PCM 출력 상태 지우기</t>
    <phoneticPr fontId="1" type="noConversion"/>
  </si>
  <si>
    <t>공유메모리 접근, 사용자 설정 값 로딩 여부 확인</t>
    <phoneticPr fontId="1" type="noConversion"/>
  </si>
  <si>
    <t>공유메모리 접근, 맵 변경 명령 전달</t>
    <phoneticPr fontId="1" type="noConversion"/>
  </si>
  <si>
    <t>자극 알림 출력</t>
    <phoneticPr fontId="1" type="noConversion"/>
  </si>
  <si>
    <t>공유메모리 접근, 맵 데이터 로딩여부 확인</t>
    <phoneticPr fontId="1" type="noConversion"/>
  </si>
  <si>
    <t>공유메모리 접근, 현재 맵 데이터 주소 반환</t>
    <phoneticPr fontId="1" type="noConversion"/>
  </si>
  <si>
    <t>공유메모리 접근, CM3 계산된 자극 파라미터 주소 반환</t>
    <phoneticPr fontId="1" type="noConversion"/>
  </si>
  <si>
    <t>공유메모리 접근, 계산된 자극 알림 크기 전달</t>
    <phoneticPr fontId="1" type="noConversion"/>
  </si>
  <si>
    <t>공유메모리 접근,자극 알림 신호 On/Off 전달</t>
    <phoneticPr fontId="1" type="noConversion"/>
  </si>
  <si>
    <t>공유메모리 접근, CM3 오디오 신호처리 파라미터 계산 완료 전달</t>
    <phoneticPr fontId="1" type="noConversion"/>
  </si>
  <si>
    <t>공유메모리 접근, 백텔 설정 값 전달</t>
    <phoneticPr fontId="1" type="noConversion"/>
  </si>
  <si>
    <t>공유메모리 접근, 현재 자극 출력 값 읽기</t>
    <phoneticPr fontId="1" type="noConversion"/>
  </si>
  <si>
    <t>공유메모리 접근, 오디오 입력(ADC) 최대값 읽기</t>
    <phoneticPr fontId="1" type="noConversion"/>
  </si>
  <si>
    <t>공유메모리 접근, 내부기 ID 읽기</t>
    <phoneticPr fontId="1" type="noConversion"/>
  </si>
  <si>
    <t>공유메모리 접근, 연결된 내부기 리콘용 접속 키 읽기</t>
    <phoneticPr fontId="1" type="noConversion"/>
  </si>
  <si>
    <t>공유메모리 접근, 연결된 내부기 번호 전달</t>
    <phoneticPr fontId="1" type="noConversion"/>
  </si>
  <si>
    <t>공유메모리 접근, 연결된 내부기 사용자 이름 읽기</t>
    <phoneticPr fontId="1" type="noConversion"/>
  </si>
  <si>
    <t>공유메모리 접근, 연결된 내부기 수술위치 읽기</t>
    <phoneticPr fontId="1" type="noConversion"/>
  </si>
  <si>
    <t>공유메모리 접근, 연결된 내부기의 사용가능한 맵 개수 읽기</t>
    <phoneticPr fontId="1" type="noConversion"/>
  </si>
  <si>
    <t>공유메모리 접근, 연결된 내부기의 사용 가능한 맵 인덱스 읽기</t>
    <phoneticPr fontId="1" type="noConversion"/>
  </si>
  <si>
    <t>공유메모리 접근, 연결된 내부기의 맵 스탬프 읽기</t>
    <phoneticPr fontId="1" type="noConversion"/>
  </si>
  <si>
    <t>공유메모리 접근, 연결된 내부기 맵 생성일자 읽기</t>
    <phoneticPr fontId="1" type="noConversion"/>
  </si>
  <si>
    <t>공유메모리 접근, 맵 번호 읽기</t>
    <phoneticPr fontId="1" type="noConversion"/>
  </si>
  <si>
    <t>공유메모리 접근, 맵 번호 변경</t>
    <phoneticPr fontId="1" type="noConversion"/>
  </si>
  <si>
    <t>공유메모리 접근, 자극 볼륨 변경</t>
    <phoneticPr fontId="1" type="noConversion"/>
  </si>
  <si>
    <t>공유메모리 접근, 자극 볼륨 읽기</t>
    <phoneticPr fontId="1" type="noConversion"/>
  </si>
  <si>
    <t>공유메모리 접근, 오디오 볼륨 변경</t>
    <phoneticPr fontId="1" type="noConversion"/>
  </si>
  <si>
    <t>공유메모리 접근, 오디오 볼륨 읽기</t>
    <phoneticPr fontId="1" type="noConversion"/>
  </si>
  <si>
    <t>공유메모리 접근, LED 알림 설정 변경</t>
    <phoneticPr fontId="1" type="noConversion"/>
  </si>
  <si>
    <t>공유메모리 접근, LED 알림 설정 읽기</t>
    <phoneticPr fontId="1" type="noConversion"/>
  </si>
  <si>
    <t>공유메모리 접근, 자극 알림 설정 읽기</t>
    <phoneticPr fontId="1" type="noConversion"/>
  </si>
  <si>
    <t>공유메모리 접근, 자극 알림 설정 변경</t>
    <phoneticPr fontId="1" type="noConversion"/>
  </si>
  <si>
    <t>I2C 드라이버 상태 읽기</t>
    <phoneticPr fontId="1" type="noConversion"/>
  </si>
  <si>
    <t>- 해당 유닛을 실행시키고 디버깅용 중단점을 적용하여 출력 데이터를 데이터를 확인한다.</t>
    <phoneticPr fontId="1" type="noConversion"/>
  </si>
  <si>
    <t>- 해당 유닛을 실행시키고 디버깅용 중단점을 적용하여 출력 데이터를 확인한다.</t>
    <phoneticPr fontId="1" type="noConversion"/>
  </si>
  <si>
    <t>- 해당 유닛을 실행시키고 PCM 출력 버퍼의 데이터를 확인한다.</t>
    <phoneticPr fontId="1" type="noConversion"/>
  </si>
  <si>
    <t xml:space="preserve">I2C 사용 가능 업데이트 </t>
    <phoneticPr fontId="1" type="noConversion"/>
  </si>
  <si>
    <t>CM3</t>
    <phoneticPr fontId="1" type="noConversion"/>
  </si>
  <si>
    <t>I2C 사용 불가능 업데이트</t>
    <phoneticPr fontId="1" type="noConversion"/>
  </si>
  <si>
    <t>I2C 사용 가능 상태 읽기</t>
    <phoneticPr fontId="1" type="noConversion"/>
  </si>
  <si>
    <t>PMIC 레지스터 쓰기</t>
    <phoneticPr fontId="1" type="noConversion"/>
  </si>
  <si>
    <t>PMIC 레지스터 읽기</t>
    <phoneticPr fontId="1" type="noConversion"/>
  </si>
  <si>
    <t>FPGA 레지스터 쓰기</t>
    <phoneticPr fontId="1" type="noConversion"/>
  </si>
  <si>
    <t>FPGA 레지스터 읽기</t>
    <phoneticPr fontId="1" type="noConversion"/>
  </si>
  <si>
    <t>FPGA FIFO 읽기</t>
    <phoneticPr fontId="1" type="noConversion"/>
  </si>
  <si>
    <t>SPI 송신 데이터 준비 완료 전달</t>
    <phoneticPr fontId="1" type="noConversion"/>
  </si>
  <si>
    <t>SPI 송신 완료 전달</t>
    <phoneticPr fontId="1" type="noConversion"/>
  </si>
  <si>
    <t>내부기 제어 상태 변경 플래그 삭제</t>
    <phoneticPr fontId="1" type="noConversion"/>
  </si>
  <si>
    <t>내부기 제어 상태 변경</t>
    <phoneticPr fontId="1" type="noConversion"/>
  </si>
  <si>
    <t>Tx PMIC 초기화</t>
    <phoneticPr fontId="1" type="noConversion"/>
  </si>
  <si>
    <t>FPGA 초기화</t>
    <phoneticPr fontId="1" type="noConversion"/>
  </si>
  <si>
    <t>내부기 초기화</t>
    <phoneticPr fontId="1" type="noConversion"/>
  </si>
  <si>
    <t>내부기 통신 통로 확보</t>
    <phoneticPr fontId="1" type="noConversion"/>
  </si>
  <si>
    <t>내부기 자극용 10v 활성화</t>
    <phoneticPr fontId="1" type="noConversion"/>
  </si>
  <si>
    <t>시험 준비 및 초기 조건</t>
    <phoneticPr fontId="1" type="noConversion"/>
  </si>
  <si>
    <t>BLE 설정 수신 데이터 인출</t>
    <phoneticPr fontId="1" type="noConversion"/>
  </si>
  <si>
    <t>매핑 수신 데이터 인출</t>
    <phoneticPr fontId="1" type="noConversion"/>
  </si>
  <si>
    <t xml:space="preserve">블루투스 광고 이름 설정 </t>
    <phoneticPr fontId="1" type="noConversion"/>
  </si>
  <si>
    <t xml:space="preserve">리모콘 제어 </t>
    <phoneticPr fontId="1" type="noConversion"/>
  </si>
  <si>
    <t xml:space="preserve">실시간 자극 출력 </t>
    <phoneticPr fontId="1" type="noConversion"/>
  </si>
  <si>
    <t>특정 자극 출력</t>
    <phoneticPr fontId="1" type="noConversion"/>
  </si>
  <si>
    <t xml:space="preserve">NRF Off 명령 </t>
    <phoneticPr fontId="1" type="noConversion"/>
  </si>
  <si>
    <t xml:space="preserve">내부기 연결 확인(매핑 연결) </t>
    <phoneticPr fontId="1" type="noConversion"/>
  </si>
  <si>
    <t xml:space="preserve">내부기 연결 확인(실시간 자극) </t>
    <phoneticPr fontId="1" type="noConversion"/>
  </si>
  <si>
    <t>내부기 자극 파라미터 설정</t>
    <phoneticPr fontId="1" type="noConversion"/>
  </si>
  <si>
    <t>매핑 명령 수행 완료</t>
    <phoneticPr fontId="1" type="noConversion"/>
  </si>
  <si>
    <t>리모콘 수신 데이터 인출</t>
    <phoneticPr fontId="1" type="noConversion"/>
  </si>
  <si>
    <t>블루투스 통신 모듈</t>
    <phoneticPr fontId="1" type="noConversion"/>
  </si>
  <si>
    <t>클럭 설정</t>
    <phoneticPr fontId="1" type="noConversion"/>
  </si>
  <si>
    <t>전원 제어용 핀 설정</t>
    <phoneticPr fontId="1" type="noConversion"/>
  </si>
  <si>
    <t>주기반복 타이머 설정</t>
    <phoneticPr fontId="1" type="noConversion"/>
  </si>
  <si>
    <t xml:space="preserve">Off Command 확인 </t>
    <phoneticPr fontId="1" type="noConversion"/>
  </si>
  <si>
    <t>장치 정보 파라미터 읽기</t>
    <phoneticPr fontId="1" type="noConversion"/>
  </si>
  <si>
    <t xml:space="preserve">BLE 광고 이름 설정 </t>
    <phoneticPr fontId="1" type="noConversion"/>
  </si>
  <si>
    <t>타이머 설정 비활성화</t>
    <phoneticPr fontId="1" type="noConversion"/>
  </si>
  <si>
    <t>블루투스 스택 초기화</t>
    <phoneticPr fontId="1" type="noConversion"/>
  </si>
  <si>
    <t>저전력 모드 진입</t>
    <phoneticPr fontId="1" type="noConversion"/>
  </si>
  <si>
    <t>SPI 송신</t>
    <phoneticPr fontId="1" type="noConversion"/>
  </si>
  <si>
    <t>SPI 송신 데이터 쓰기</t>
    <phoneticPr fontId="1" type="noConversion"/>
  </si>
  <si>
    <t xml:space="preserve">SPI 슬레이브 장치 데이터 송신 알림 읽기  </t>
    <phoneticPr fontId="1" type="noConversion"/>
  </si>
  <si>
    <t xml:space="preserve">SPI 수신 </t>
    <phoneticPr fontId="1" type="noConversion"/>
  </si>
  <si>
    <t>SPI 수신 데이터 복사</t>
    <phoneticPr fontId="1" type="noConversion"/>
  </si>
  <si>
    <t>블루투스 데이터 수신</t>
    <phoneticPr fontId="1" type="noConversion"/>
  </si>
  <si>
    <t>NRF</t>
    <phoneticPr fontId="1" type="noConversion"/>
  </si>
  <si>
    <t>신호처리 모듈</t>
    <phoneticPr fontId="1" type="noConversion"/>
  </si>
  <si>
    <t>- 텔레코일 사용 플래그를 활성화하고, 스피커에 음악을 재생시킨 상태에서 텔레코일에 스피커를 가까이 놓았다 멀리 떼는 동작을 반복한다.
- 텔레코일 사용 플래그를 활성화하고, 스피커에 음악을 재생시킨 상태에서 텔레코일에 스피커를 가까이 놓았다 멀리 떼는 동작을 반복한다.
- Ezairo DAC 출력에 이어폰을 연결하여 소리를 청취한다.</t>
    <phoneticPr fontId="1" type="noConversion"/>
  </si>
  <si>
    <t>저전력 모드 전환, IOC 비활성화</t>
    <phoneticPr fontId="1" type="noConversion"/>
  </si>
  <si>
    <t>저전력 모드 전환,  입/출력단 비활성화</t>
    <phoneticPr fontId="1" type="noConversion"/>
  </si>
  <si>
    <t>저전력 모드 전환, FIFO 비활성화</t>
    <phoneticPr fontId="1" type="noConversion"/>
  </si>
  <si>
    <t>저전력 모드 전환, FIFO 버퍼 초기화</t>
    <phoneticPr fontId="1" type="noConversion"/>
  </si>
  <si>
    <t>저전력 모드 전환,  모드 DIO 설정</t>
    <phoneticPr fontId="1" type="noConversion"/>
  </si>
  <si>
    <t>저전력 모드 전환, 클럭 조정</t>
    <phoneticPr fontId="1" type="noConversion"/>
  </si>
  <si>
    <t>저전력 모드 전환,  타이머 설정</t>
    <phoneticPr fontId="1" type="noConversion"/>
  </si>
  <si>
    <t>저전력 모드 전환, 인터럽트 설정</t>
    <phoneticPr fontId="1" type="noConversion"/>
  </si>
  <si>
    <t>- 디버깅 모드
- 텔레코일 입력 FIFO 비활성화
- 입력 데이터를 테스트 벡터로 대체</t>
    <phoneticPr fontId="1" type="noConversion"/>
  </si>
  <si>
    <t>사용 준비 상태 전송</t>
    <phoneticPr fontId="1" type="noConversion"/>
  </si>
  <si>
    <t>공유메모리 접근, PCM 출력 버퍼 데이터 채우기</t>
    <phoneticPr fontId="1" type="noConversion"/>
  </si>
  <si>
    <t>공유메모리 접근, 연결된 내부기 번호 읽기</t>
    <phoneticPr fontId="1" type="noConversion"/>
  </si>
  <si>
    <t>I2C 데이터 쓰기 시작</t>
    <phoneticPr fontId="1" type="noConversion"/>
  </si>
  <si>
    <t>I2C 데이터 읽기 시작</t>
    <phoneticPr fontId="1" type="noConversion"/>
  </si>
  <si>
    <t xml:space="preserve">자극 DAC 선택 및 C ,T 레벨 계산 </t>
    <phoneticPr fontId="1" type="noConversion"/>
  </si>
  <si>
    <t xml:space="preserve">내부기 자극 출력 제어 </t>
    <phoneticPr fontId="1" type="noConversion"/>
  </si>
  <si>
    <t>리모콘 명령 수행 완료</t>
    <phoneticPr fontId="1" type="noConversion"/>
  </si>
  <si>
    <t>Log Data 읽기</t>
    <phoneticPr fontId="1" type="noConversion"/>
  </si>
  <si>
    <t>BLE 본딩 데이터 저장</t>
    <phoneticPr fontId="1" type="noConversion"/>
  </si>
  <si>
    <t>소프트웨어 식별 이름 :</t>
    <phoneticPr fontId="1" type="noConversion"/>
  </si>
  <si>
    <t>소프트웨어 버전 :</t>
    <phoneticPr fontId="1" type="noConversion"/>
  </si>
  <si>
    <t>1.0.0</t>
    <phoneticPr fontId="1" type="noConversion"/>
  </si>
  <si>
    <t xml:space="preserve">2. 동작 하드웨어 </t>
    <phoneticPr fontId="1" type="noConversion"/>
  </si>
  <si>
    <t>OTE_GEN1_Proto3</t>
    <phoneticPr fontId="1" type="noConversion"/>
  </si>
  <si>
    <t>장비 및 지그, 소프트웨어 툴</t>
    <phoneticPr fontId="1" type="noConversion"/>
  </si>
  <si>
    <t>사용목적</t>
    <phoneticPr fontId="1" type="noConversion"/>
  </si>
  <si>
    <t>인공달팽이과 외부기 시제품 3차(OTE 시제품 버전 3)</t>
    <phoneticPr fontId="1" type="noConversion"/>
  </si>
  <si>
    <t>스피커</t>
    <phoneticPr fontId="1" type="noConversion"/>
  </si>
  <si>
    <t>음악 재생기(PC)</t>
    <phoneticPr fontId="1" type="noConversion"/>
  </si>
  <si>
    <t xml:space="preserve">   음악 파일을 재생한다.</t>
    <phoneticPr fontId="1" type="noConversion"/>
  </si>
  <si>
    <t>음악 파일</t>
    <phoneticPr fontId="1" type="noConversion"/>
  </si>
  <si>
    <t>3. 필요 장비 및 지그</t>
    <phoneticPr fontId="1" type="noConversion"/>
  </si>
  <si>
    <t>1. 시험 대상 소프트웨어</t>
    <phoneticPr fontId="1" type="noConversion"/>
  </si>
  <si>
    <t>I2C 디버거(AMIS CCA)</t>
    <phoneticPr fontId="1" type="noConversion"/>
  </si>
  <si>
    <t>Ezairo system 디버깅 장치</t>
    <phoneticPr fontId="1" type="noConversion"/>
  </si>
  <si>
    <t>EDK Ezairo</t>
    <phoneticPr fontId="1" type="noConversion"/>
  </si>
  <si>
    <t>J-Link 디버거</t>
    <phoneticPr fontId="1" type="noConversion"/>
  </si>
  <si>
    <t>NRF 디버깅 장치</t>
    <phoneticPr fontId="1" type="noConversion"/>
  </si>
  <si>
    <t>Keil uVison5</t>
    <phoneticPr fontId="1" type="noConversion"/>
  </si>
  <si>
    <t>피에조 고장난 스피커</t>
    <phoneticPr fontId="1" type="noConversion"/>
  </si>
  <si>
    <t>소리(음파)를 생성한다.</t>
    <phoneticPr fontId="1" type="noConversion"/>
  </si>
  <si>
    <t>소리에 해당하는 전자기장을 발생시킨다.</t>
    <phoneticPr fontId="1" type="noConversion"/>
  </si>
  <si>
    <t>이어폰</t>
    <phoneticPr fontId="1" type="noConversion"/>
  </si>
  <si>
    <t>신호처리 과정의 소리를 청취한다.</t>
    <phoneticPr fontId="1" type="noConversion"/>
  </si>
  <si>
    <t>시험에 필요한 특정 주파수 및 음악 신호 파일</t>
    <phoneticPr fontId="1" type="noConversion"/>
  </si>
  <si>
    <t>Ezairo system 코딩, 컴파일, 링크, 다운로드 및 디버깅 프로그램 툴</t>
    <phoneticPr fontId="1" type="noConversion"/>
  </si>
  <si>
    <t>NRF 코딩, 컴파일, 링크, 다운로드 및 디버깅 프로그램 툴</t>
    <phoneticPr fontId="1" type="noConversion"/>
  </si>
  <si>
    <t>4. 시험 내용</t>
    <phoneticPr fontId="1" type="noConversion"/>
  </si>
  <si>
    <r>
      <rPr>
        <b/>
        <sz val="14"/>
        <rFont val="맑은 고딕"/>
        <family val="3"/>
        <charset val="129"/>
        <scheme val="minor"/>
      </rPr>
      <t>유닛 시험 기준서</t>
    </r>
    <r>
      <rPr>
        <sz val="14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인공달팽이관 외부장치 펌</t>
    </r>
    <r>
      <rPr>
        <sz val="11"/>
        <color theme="1"/>
        <rFont val="맑은 고딕"/>
        <family val="3"/>
        <charset val="129"/>
        <scheme val="minor"/>
      </rPr>
      <t xml:space="preserve">웨어 </t>
    </r>
    <phoneticPr fontId="1" type="noConversion"/>
  </si>
  <si>
    <t>소프트웨어 유닛 검증 기준서
(TD20B-A-EXT)</t>
    <phoneticPr fontId="3" type="noConversion"/>
  </si>
  <si>
    <t>5. 기준서 검증</t>
    <phoneticPr fontId="1" type="noConversion"/>
  </si>
  <si>
    <t>- 전략, 방법 및 절차가 확립 되었는가?</t>
    <phoneticPr fontId="1" type="noConversion"/>
  </si>
  <si>
    <t xml:space="preserve"> : 예</t>
    <phoneticPr fontId="1" type="noConversion"/>
  </si>
  <si>
    <t>- 시험 절차가 정확한가?</t>
    <phoneticPr fontId="1" type="noConversion"/>
  </si>
  <si>
    <t>임정우</t>
    <phoneticPr fontId="3" type="noConversion"/>
  </si>
  <si>
    <t>이호승</t>
    <phoneticPr fontId="3" type="noConversion"/>
  </si>
  <si>
    <t>2021.09.04</t>
    <phoneticPr fontId="3" type="noConversion"/>
  </si>
  <si>
    <t>- 스피커에 음악을 재생시킨 상태에서 텔레코일에 스피커를 가까이 놓았다 멀리 떼는 동작을 반복한다.
- 디버깅용 중단점을 적용하여 파라미터 값을 확인한다.</t>
    <phoneticPr fontId="1" type="noConversion"/>
  </si>
  <si>
    <t>- 채널당 프레임 개수를 변경하면서 해당 유닛을 실행시키고 디버깅용 중단점을 적용하여 출력 데이터를 확인한다.</t>
    <phoneticPr fontId="1" type="noConversion"/>
  </si>
  <si>
    <t>SU-ID-CFX-001</t>
  </si>
  <si>
    <t>SU-ID-CFX-002</t>
  </si>
  <si>
    <t>SU-ID-CFX-003</t>
  </si>
  <si>
    <t>SU-ID-CFX-004</t>
  </si>
  <si>
    <t>SU-ID-CFX-005</t>
  </si>
  <si>
    <t>SU-ID-CFX-006</t>
  </si>
  <si>
    <t>SU-ID-CFX-007</t>
  </si>
  <si>
    <t>SU-ID-CFX-008</t>
  </si>
  <si>
    <t>SU-ID-CFX-009</t>
  </si>
  <si>
    <t>SU-ID-CFX-010</t>
  </si>
  <si>
    <t>SU-ID-CFX-011</t>
  </si>
  <si>
    <t>SU-ID-CFX-012</t>
  </si>
  <si>
    <t>SU-ID-CFX-013</t>
  </si>
  <si>
    <t>SU-ID-CFX-014</t>
  </si>
  <si>
    <t>SU-ID-CFX-015</t>
  </si>
  <si>
    <t>SU-ID-CFX-016</t>
  </si>
  <si>
    <t>SU-ID-CFX-017</t>
  </si>
  <si>
    <t>SU-ID-CFX-018</t>
  </si>
  <si>
    <t>SU-ID-CFX-019</t>
  </si>
  <si>
    <t>SU-ID-CFX-020</t>
  </si>
  <si>
    <t>SU-ID-CFX-021</t>
  </si>
  <si>
    <t>SU-ID-CFX-022</t>
  </si>
  <si>
    <t>SU-ID-CFX-024</t>
  </si>
  <si>
    <t>SU-ID-CFX-025</t>
  </si>
  <si>
    <t>SU-ID-CFX-026</t>
  </si>
  <si>
    <t>SU-ID-CFX-027</t>
  </si>
  <si>
    <t>SU-ID-CFX-028</t>
  </si>
  <si>
    <t>SU-ID-CFX-029</t>
  </si>
  <si>
    <t>SU-ID-CFX-030</t>
  </si>
  <si>
    <t>SU-ID-CFX-031</t>
  </si>
  <si>
    <t>SU-ID-CFX-032</t>
  </si>
  <si>
    <t>SU-ID-CFX-033</t>
  </si>
  <si>
    <t>SU-ID-CFX-034</t>
  </si>
  <si>
    <t>SU-ID-CFX-035</t>
  </si>
  <si>
    <t>SU-ID-CFX-036</t>
  </si>
  <si>
    <t>SU-ID-CFX-037</t>
  </si>
  <si>
    <t>SU-ID-CFX-038</t>
  </si>
  <si>
    <t>SU-ID-CFX-039</t>
  </si>
  <si>
    <t>SU-ID-CFX-040</t>
  </si>
  <si>
    <t>SU-ID-CFX-041</t>
  </si>
  <si>
    <t>SU-ID-CFX-042</t>
  </si>
  <si>
    <t>SU-ID-CFX-043</t>
  </si>
  <si>
    <t>SU-ID-CFX-044</t>
  </si>
  <si>
    <t>SU-ID-CFX-045</t>
  </si>
  <si>
    <t>SU-ID-CFX-046</t>
  </si>
  <si>
    <t>SU-ID-CFX-047</t>
  </si>
  <si>
    <t>SU-ID-CFX-048</t>
  </si>
  <si>
    <t>SU-ID-CFX-049</t>
  </si>
  <si>
    <t>SU-ID-CFX-050</t>
  </si>
  <si>
    <t>SU-ID-CFX-051</t>
  </si>
  <si>
    <t>SU-ID-CFX-052</t>
  </si>
  <si>
    <t>SU-ID-CFX-053</t>
  </si>
  <si>
    <t>SU-ID-CFX-054</t>
  </si>
  <si>
    <t>SU-ID-CFX-055</t>
  </si>
  <si>
    <t>SU-ID-CFX-056</t>
  </si>
  <si>
    <t>SU-ID-CFX-058</t>
  </si>
  <si>
    <t>SU-ID-CFX-059</t>
  </si>
  <si>
    <t>SU-ID-CFX-057</t>
  </si>
  <si>
    <t>SU-ID-CFX-060</t>
  </si>
  <si>
    <t>SU-ID-CFX-061</t>
  </si>
  <si>
    <t>SU-ID-CM3-001</t>
  </si>
  <si>
    <t>SU-ID-CM3-002</t>
  </si>
  <si>
    <t>SU-ID-CM3-003</t>
  </si>
  <si>
    <t>SU-ID-CM3-004</t>
  </si>
  <si>
    <t>SU-ID-CM3-005</t>
  </si>
  <si>
    <t>SU-ID-CM3-006</t>
  </si>
  <si>
    <t>SU-ID-CM3-007</t>
  </si>
  <si>
    <t>SU-ID-CM3-008</t>
  </si>
  <si>
    <t>SU-ID-CM3-009</t>
  </si>
  <si>
    <t>SU-ID-CM3-010</t>
  </si>
  <si>
    <t>SU-ID-CM3-011</t>
  </si>
  <si>
    <t>SU-ID-CM3-012</t>
  </si>
  <si>
    <t>SU-ID-CM3-013</t>
  </si>
  <si>
    <t>SU-ID-CM3-014</t>
  </si>
  <si>
    <t>SU-ID-CM3-015</t>
  </si>
  <si>
    <t>SU-ID-CM3-016</t>
  </si>
  <si>
    <t>SU-ID-CM3-017</t>
  </si>
  <si>
    <t>SU-ID-CM3-018</t>
  </si>
  <si>
    <t>SU-ID-CM3-019</t>
  </si>
  <si>
    <t>SU-ID-CM3-020</t>
  </si>
  <si>
    <t>SU-ID-CM3-021</t>
  </si>
  <si>
    <t>SU-ID-CM3-022</t>
  </si>
  <si>
    <t>SU-ID-CM3-023</t>
  </si>
  <si>
    <t>SU-ID-CM3-024</t>
  </si>
  <si>
    <t>SU-ID-CM3-025</t>
  </si>
  <si>
    <t>SU-ID-CM3-026</t>
  </si>
  <si>
    <t>SU-ID-CM3-027</t>
  </si>
  <si>
    <t>SU-ID-CM3-028</t>
  </si>
  <si>
    <t>SU-ID-CM3-029</t>
  </si>
  <si>
    <t>SU-ID-CM3-030</t>
  </si>
  <si>
    <t>SU-ID-CM3-031</t>
  </si>
  <si>
    <t>SU-ID-CM3-032</t>
  </si>
  <si>
    <t>SU-ID-CM3-033</t>
  </si>
  <si>
    <t>SU-ID-CM3-034</t>
  </si>
  <si>
    <t>SU-ID-CM3-035</t>
  </si>
  <si>
    <t>SU-ID-CM3-036</t>
  </si>
  <si>
    <t>SU-ID-CM3-037</t>
  </si>
  <si>
    <t>SU-ID-CM3-038</t>
  </si>
  <si>
    <t>SU-ID-CM3-039</t>
  </si>
  <si>
    <t>SU-ID-CM3-040</t>
  </si>
  <si>
    <t>SU-ID-CM3-041</t>
  </si>
  <si>
    <t>SU-ID-CM3-042</t>
  </si>
  <si>
    <t>SU-ID-CM3-043</t>
  </si>
  <si>
    <t>SU-ID-CM3-044</t>
  </si>
  <si>
    <t>SU-ID-CM3-045</t>
  </si>
  <si>
    <t>SU-ID-CM3-046</t>
  </si>
  <si>
    <t>SU-ID-CM3-047</t>
  </si>
  <si>
    <t>SU-ID-CM3-048</t>
  </si>
  <si>
    <t>SU-ID-CM3-049</t>
  </si>
  <si>
    <t>SU-ID-CM3-050</t>
  </si>
  <si>
    <t>SU-ID-CM3-051</t>
  </si>
  <si>
    <t>SU-ID-CM3-052</t>
  </si>
  <si>
    <t>SU-ID-CM3-053</t>
  </si>
  <si>
    <t>SU-ID-CM3-054</t>
  </si>
  <si>
    <t>SU-ID-CM3-055</t>
  </si>
  <si>
    <t>SU-ID-CM3-056</t>
  </si>
  <si>
    <t>SU-ID-CM3-057</t>
  </si>
  <si>
    <t>SU-ID-CM3-058</t>
  </si>
  <si>
    <t>SU-ID-CM3-059</t>
  </si>
  <si>
    <t>SU-ID-CM3-060</t>
  </si>
  <si>
    <t>SU-ID-CM3-061</t>
  </si>
  <si>
    <t>SU-ID-CM3-062</t>
  </si>
  <si>
    <t>SU-ID-CM3-063</t>
  </si>
  <si>
    <t>SU-ID-CM3-064</t>
  </si>
  <si>
    <t>SU-ID-CM3-065</t>
  </si>
  <si>
    <t>SU-ID-CM3-066</t>
  </si>
  <si>
    <t>SU-ID-CM3-067</t>
  </si>
  <si>
    <t>SU-ID-CM3-068</t>
  </si>
  <si>
    <t>SU-ID-CM3-069</t>
  </si>
  <si>
    <t>SU-ID-CM3-070</t>
  </si>
  <si>
    <t>SU-ID-CM3-071</t>
  </si>
  <si>
    <t>SU-ID-CM3-072</t>
  </si>
  <si>
    <t>SU-ID-CM3-073</t>
  </si>
  <si>
    <t>SU-ID-CM3-074</t>
  </si>
  <si>
    <t>SU-ID-CM3-075</t>
  </si>
  <si>
    <t>SU-ID-CM3-076</t>
  </si>
  <si>
    <t>SU-ID-CM3-077</t>
  </si>
  <si>
    <t>SU-ID-CM3-078</t>
  </si>
  <si>
    <t>SU-ID-CM3-079</t>
  </si>
  <si>
    <t>SU-ID-CM3-080</t>
  </si>
  <si>
    <t>SU-ID-CM3-081</t>
  </si>
  <si>
    <t>SU-ID-CM3-082</t>
  </si>
  <si>
    <t>SU-ID-CM3-083</t>
  </si>
  <si>
    <t>SU-ID-CM3-084</t>
  </si>
  <si>
    <t>SU-ID-CM3-085</t>
  </si>
  <si>
    <t>SU-ID-CM3-086</t>
  </si>
  <si>
    <t>SU-ID-CM3-087</t>
  </si>
  <si>
    <t>SU-ID-CM3-088</t>
  </si>
  <si>
    <t>SU-ID-CM3-089</t>
  </si>
  <si>
    <t>SU-ID-CM3-090</t>
  </si>
  <si>
    <t>SU-ID-CM3-091</t>
  </si>
  <si>
    <t>SU-ID-CM3-092</t>
  </si>
  <si>
    <t>SU-ID-CM3-093</t>
  </si>
  <si>
    <t>SU-ID-CM3-094</t>
  </si>
  <si>
    <t>SU-ID-CM3-095</t>
  </si>
  <si>
    <t>SU-ID-CM3-096</t>
  </si>
  <si>
    <t>SU-ID-CM3-097</t>
  </si>
  <si>
    <t>SU-ID-CM3-098</t>
  </si>
  <si>
    <t>SU-ID-CM3-099</t>
  </si>
  <si>
    <t>SU-ID-CM3-100</t>
  </si>
  <si>
    <t>SU-ID-CM3-101</t>
  </si>
  <si>
    <t>SU-ID-CM3-102</t>
  </si>
  <si>
    <t>SU-ID-CM3-103</t>
  </si>
  <si>
    <t>SU-ID-CM3-104</t>
  </si>
  <si>
    <t>SU-ID-CM3-105</t>
  </si>
  <si>
    <t>SU-ID-CM3-106</t>
  </si>
  <si>
    <t>SU-ID-CM3-107</t>
  </si>
  <si>
    <t>SU-ID-NRF-001</t>
  </si>
  <si>
    <t>SU-ID-NRF-002</t>
  </si>
  <si>
    <t>SU-ID-NRF-003</t>
  </si>
  <si>
    <t>SU-ID-NRF-004</t>
  </si>
  <si>
    <t>SU-ID-NRF-005</t>
  </si>
  <si>
    <t>SU-ID-NRF-006</t>
  </si>
  <si>
    <t>SU-ID-NRF-007</t>
  </si>
  <si>
    <t>SU-ID-NRF-008</t>
  </si>
  <si>
    <t>SU-ID-NRF-009</t>
  </si>
  <si>
    <t>SU-ID-NRF-010</t>
  </si>
  <si>
    <t>SU-ID-NRF-011</t>
  </si>
  <si>
    <t>SU-ID-NRF-012</t>
  </si>
  <si>
    <t>SU-ID-NRF-013</t>
  </si>
  <si>
    <t>SU-ID-NRF-014</t>
  </si>
  <si>
    <t>SU-ID-NRF-015</t>
  </si>
  <si>
    <t>SU-ID-NRF-016</t>
  </si>
  <si>
    <t>SU-ID-NRF-017</t>
  </si>
  <si>
    <t>SU-ID-NRF-018</t>
  </si>
  <si>
    <t>Rev. 1</t>
    <phoneticPr fontId="3" type="noConversion"/>
  </si>
  <si>
    <t>소속/부서</t>
    <phoneticPr fontId="3" type="noConversion"/>
  </si>
  <si>
    <t>성명</t>
    <phoneticPr fontId="3" type="noConversion"/>
  </si>
  <si>
    <t>일자</t>
    <phoneticPr fontId="3" type="noConversion"/>
  </si>
  <si>
    <t>토닥/인공와우사업부</t>
    <phoneticPr fontId="3" type="noConversion"/>
  </si>
  <si>
    <t>토닥</t>
    <phoneticPr fontId="3" type="noConversion"/>
  </si>
  <si>
    <t>최초 작성</t>
    <phoneticPr fontId="3" type="noConversion"/>
  </si>
  <si>
    <t>SUVC-FW-TD20B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</si>
</sst>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1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49" fontId="0" fillId="0" borderId="1" xfId="0" applyNumberForma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5" fillId="8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11</xdr:row>
      <xdr:rowOff>31750</xdr:rowOff>
    </xdr:from>
    <xdr:to>
      <xdr:col>11</xdr:col>
      <xdr:colOff>146050</xdr:colOff>
      <xdr:row>12</xdr:row>
      <xdr:rowOff>203200</xdr:rowOff>
    </xdr:to>
    <xdr:pic>
      <xdr:nvPicPr>
        <xdr:cNvPr id="4" name="_x220564472">
          <a:extLst>
            <a:ext uri="{FF2B5EF4-FFF2-40B4-BE49-F238E27FC236}">
              <a16:creationId xmlns:a16="http://schemas.microsoft.com/office/drawing/2014/main" id="{7EFC097D-ADA6-4D16-94DF-7AFE6B5CA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8300" y="2216150"/>
          <a:ext cx="88265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393700</xdr:colOff>
      <xdr:row>15</xdr:row>
      <xdr:rowOff>38100</xdr:rowOff>
    </xdr:from>
    <xdr:to>
      <xdr:col>11</xdr:col>
      <xdr:colOff>215900</xdr:colOff>
      <xdr:row>16</xdr:row>
      <xdr:rowOff>196850</xdr:rowOff>
    </xdr:to>
    <xdr:pic>
      <xdr:nvPicPr>
        <xdr:cNvPr id="5" name="_x752701944">
          <a:extLst>
            <a:ext uri="{FF2B5EF4-FFF2-40B4-BE49-F238E27FC236}">
              <a16:creationId xmlns:a16="http://schemas.microsoft.com/office/drawing/2014/main" id="{A2C2D5EE-DE4B-4EEA-AF7C-1C8596EC9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3086100"/>
          <a:ext cx="7874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1"/>
  <sheetViews>
    <sheetView workbookViewId="0">
      <selection activeCell="U31" sqref="U31"/>
    </sheetView>
  </sheetViews>
  <sheetFormatPr defaultColWidth="5.75" defaultRowHeight="17" x14ac:dyDescent="0.45"/>
  <cols>
    <col min="1" max="1" width="1.1640625" style="1" customWidth="1"/>
    <col min="2" max="15" width="6.33203125" style="1" customWidth="1"/>
    <col min="16" max="16" width="4.58203125" style="1" customWidth="1"/>
    <col min="17" max="17" width="1.08203125" style="1" customWidth="1"/>
    <col min="18" max="42" width="5.75" style="1"/>
    <col min="43" max="43" width="7.83203125" style="1" bestFit="1" customWidth="1"/>
    <col min="44" max="16384" width="5.75" style="1"/>
  </cols>
  <sheetData>
    <row r="1" spans="2:30" ht="3" customHeight="1" x14ac:dyDescent="0.45"/>
    <row r="2" spans="2:30" x14ac:dyDescent="0.45">
      <c r="J2" s="52" t="s">
        <v>0</v>
      </c>
      <c r="K2" s="53"/>
      <c r="L2" s="54" t="s">
        <v>474</v>
      </c>
      <c r="M2" s="55"/>
      <c r="N2" s="55"/>
      <c r="O2" s="56"/>
      <c r="P2" s="7"/>
    </row>
    <row r="3" spans="2:30" x14ac:dyDescent="0.45">
      <c r="J3" s="54" t="s">
        <v>1</v>
      </c>
      <c r="K3" s="56"/>
      <c r="L3" s="54" t="s">
        <v>467</v>
      </c>
      <c r="M3" s="55"/>
      <c r="N3" s="55"/>
      <c r="O3" s="56"/>
      <c r="P3" s="7"/>
    </row>
    <row r="4" spans="2:30" ht="17.5" thickBot="1" x14ac:dyDescent="0.5"/>
    <row r="5" spans="2:30" x14ac:dyDescent="0.45">
      <c r="B5" s="57" t="s">
        <v>272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9"/>
      <c r="Y5" s="45"/>
      <c r="Z5" s="45"/>
      <c r="AA5" s="46"/>
      <c r="AB5" s="46"/>
      <c r="AC5" s="46"/>
      <c r="AD5" s="46"/>
    </row>
    <row r="6" spans="2:30" ht="16.5" customHeight="1" x14ac:dyDescent="0.45">
      <c r="B6" s="60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2"/>
      <c r="Y6" s="46"/>
      <c r="Z6" s="46"/>
      <c r="AA6" s="46"/>
      <c r="AB6" s="46"/>
      <c r="AC6" s="46"/>
      <c r="AD6" s="46"/>
    </row>
    <row r="7" spans="2:30" ht="16.5" customHeight="1" x14ac:dyDescent="0.45">
      <c r="B7" s="60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2:30" ht="16.5" customHeight="1" thickBot="1" x14ac:dyDescent="0.5">
      <c r="B8" s="63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5"/>
    </row>
    <row r="9" spans="2:30" ht="16.5" customHeight="1" x14ac:dyDescent="0.45"/>
    <row r="10" spans="2:30" ht="17.25" customHeight="1" x14ac:dyDescent="0.45"/>
    <row r="11" spans="2:30" ht="17.5" x14ac:dyDescent="0.45">
      <c r="B11" s="47"/>
      <c r="C11" s="48"/>
      <c r="D11" s="49" t="s">
        <v>468</v>
      </c>
      <c r="E11" s="50"/>
      <c r="F11" s="50"/>
      <c r="G11" s="51"/>
      <c r="H11" s="49" t="s">
        <v>469</v>
      </c>
      <c r="I11" s="51"/>
      <c r="J11" s="49" t="s">
        <v>5</v>
      </c>
      <c r="K11" s="50"/>
      <c r="L11" s="51"/>
      <c r="M11" s="49" t="s">
        <v>470</v>
      </c>
      <c r="N11" s="50"/>
      <c r="O11" s="51"/>
    </row>
    <row r="12" spans="2:30" x14ac:dyDescent="0.45">
      <c r="B12" s="35" t="s">
        <v>2</v>
      </c>
      <c r="C12" s="36"/>
      <c r="D12" s="39" t="s">
        <v>471</v>
      </c>
      <c r="E12" s="40"/>
      <c r="F12" s="40"/>
      <c r="G12" s="41"/>
      <c r="H12" s="39" t="s">
        <v>277</v>
      </c>
      <c r="I12" s="41"/>
      <c r="J12" s="39"/>
      <c r="K12" s="40"/>
      <c r="L12" s="41"/>
      <c r="M12" s="39" t="s">
        <v>279</v>
      </c>
      <c r="N12" s="40"/>
      <c r="O12" s="41"/>
    </row>
    <row r="13" spans="2:30" x14ac:dyDescent="0.45">
      <c r="B13" s="37"/>
      <c r="C13" s="38"/>
      <c r="D13" s="42"/>
      <c r="E13" s="43"/>
      <c r="F13" s="43"/>
      <c r="G13" s="44"/>
      <c r="H13" s="42"/>
      <c r="I13" s="44"/>
      <c r="J13" s="42"/>
      <c r="K13" s="43"/>
      <c r="L13" s="44"/>
      <c r="M13" s="42"/>
      <c r="N13" s="43"/>
      <c r="O13" s="44"/>
    </row>
    <row r="14" spans="2:30" x14ac:dyDescent="0.45">
      <c r="B14" s="35" t="s">
        <v>3</v>
      </c>
      <c r="C14" s="36"/>
      <c r="D14" s="39"/>
      <c r="E14" s="40"/>
      <c r="F14" s="40"/>
      <c r="G14" s="41"/>
      <c r="H14" s="39"/>
      <c r="I14" s="41"/>
      <c r="J14" s="39"/>
      <c r="K14" s="40"/>
      <c r="L14" s="41"/>
      <c r="M14" s="39"/>
      <c r="N14" s="40"/>
      <c r="O14" s="41"/>
    </row>
    <row r="15" spans="2:30" x14ac:dyDescent="0.45">
      <c r="B15" s="37"/>
      <c r="C15" s="38"/>
      <c r="D15" s="42"/>
      <c r="E15" s="43"/>
      <c r="F15" s="43"/>
      <c r="G15" s="44"/>
      <c r="H15" s="42"/>
      <c r="I15" s="44"/>
      <c r="J15" s="42"/>
      <c r="K15" s="43"/>
      <c r="L15" s="44"/>
      <c r="M15" s="42"/>
      <c r="N15" s="43"/>
      <c r="O15" s="44"/>
    </row>
    <row r="16" spans="2:30" x14ac:dyDescent="0.45">
      <c r="B16" s="35" t="s">
        <v>4</v>
      </c>
      <c r="C16" s="36"/>
      <c r="D16" s="39" t="s">
        <v>472</v>
      </c>
      <c r="E16" s="40"/>
      <c r="F16" s="40"/>
      <c r="G16" s="41"/>
      <c r="H16" s="39" t="s">
        <v>278</v>
      </c>
      <c r="I16" s="41"/>
      <c r="J16" s="39"/>
      <c r="K16" s="40"/>
      <c r="L16" s="41"/>
      <c r="M16" s="39" t="s">
        <v>279</v>
      </c>
      <c r="N16" s="40"/>
      <c r="O16" s="41"/>
    </row>
    <row r="17" spans="2:15" x14ac:dyDescent="0.45">
      <c r="B17" s="37"/>
      <c r="C17" s="38"/>
      <c r="D17" s="42"/>
      <c r="E17" s="43"/>
      <c r="F17" s="43"/>
      <c r="G17" s="44"/>
      <c r="H17" s="42"/>
      <c r="I17" s="44"/>
      <c r="J17" s="42"/>
      <c r="K17" s="43"/>
      <c r="L17" s="44"/>
      <c r="M17" s="42"/>
      <c r="N17" s="43"/>
      <c r="O17" s="44"/>
    </row>
    <row r="18" spans="2:15" ht="16.5" customHeight="1" x14ac:dyDescent="0.45"/>
    <row r="19" spans="2:15" x14ac:dyDescent="0.45">
      <c r="L19"/>
    </row>
    <row r="22" spans="2:15" x14ac:dyDescent="0.45">
      <c r="B22" s="66" t="s">
        <v>6</v>
      </c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8"/>
    </row>
    <row r="23" spans="2:15" x14ac:dyDescent="0.45">
      <c r="B23" s="29" t="s">
        <v>7</v>
      </c>
      <c r="C23" s="30"/>
      <c r="D23" s="29" t="s">
        <v>8</v>
      </c>
      <c r="E23" s="30"/>
      <c r="F23" s="29" t="s">
        <v>9</v>
      </c>
      <c r="G23" s="31"/>
      <c r="H23" s="31"/>
      <c r="I23" s="31"/>
      <c r="J23" s="31"/>
      <c r="K23" s="31"/>
      <c r="L23" s="31"/>
      <c r="M23" s="31"/>
      <c r="N23" s="31"/>
      <c r="O23" s="30"/>
    </row>
    <row r="24" spans="2:15" x14ac:dyDescent="0.45">
      <c r="B24" s="29">
        <v>0</v>
      </c>
      <c r="C24" s="30"/>
      <c r="D24" s="29" t="s">
        <v>279</v>
      </c>
      <c r="E24" s="30"/>
      <c r="F24" s="29" t="s">
        <v>473</v>
      </c>
      <c r="G24" s="31"/>
      <c r="H24" s="31"/>
      <c r="I24" s="31"/>
      <c r="J24" s="31"/>
      <c r="K24" s="31"/>
      <c r="L24" s="31"/>
      <c r="M24" s="31"/>
      <c r="N24" s="31"/>
      <c r="O24" s="30"/>
    </row>
    <row r="25" spans="2:15" x14ac:dyDescent="0.45">
      <c r="B25" s="29"/>
      <c r="C25" s="30"/>
      <c r="D25" s="29"/>
      <c r="E25" s="30"/>
      <c r="F25" s="32"/>
      <c r="G25" s="33"/>
      <c r="H25" s="33"/>
      <c r="I25" s="33"/>
      <c r="J25" s="33"/>
      <c r="K25" s="33"/>
      <c r="L25" s="33"/>
      <c r="M25" s="33"/>
      <c r="N25" s="33"/>
      <c r="O25" s="34"/>
    </row>
    <row r="26" spans="2:15" x14ac:dyDescent="0.45">
      <c r="B26" s="29"/>
      <c r="C26" s="30"/>
      <c r="D26" s="29"/>
      <c r="E26" s="30"/>
      <c r="F26" s="29"/>
      <c r="G26" s="31"/>
      <c r="H26" s="31"/>
      <c r="I26" s="31"/>
      <c r="J26" s="31"/>
      <c r="K26" s="31"/>
      <c r="L26" s="31"/>
      <c r="M26" s="31"/>
      <c r="N26" s="31"/>
      <c r="O26" s="30"/>
    </row>
    <row r="27" spans="2:15" x14ac:dyDescent="0.45">
      <c r="B27" s="29"/>
      <c r="C27" s="30"/>
      <c r="D27" s="29"/>
      <c r="E27" s="30"/>
      <c r="F27" s="29"/>
      <c r="G27" s="31"/>
      <c r="H27" s="31"/>
      <c r="I27" s="31"/>
      <c r="J27" s="31"/>
      <c r="K27" s="31"/>
      <c r="L27" s="31"/>
      <c r="M27" s="31"/>
      <c r="N27" s="31"/>
      <c r="O27" s="30"/>
    </row>
    <row r="28" spans="2:15" x14ac:dyDescent="0.45">
      <c r="B28" s="29"/>
      <c r="C28" s="30"/>
      <c r="D28" s="29"/>
      <c r="E28" s="30"/>
      <c r="F28" s="29"/>
      <c r="G28" s="31"/>
      <c r="H28" s="31"/>
      <c r="I28" s="31"/>
      <c r="J28" s="31"/>
      <c r="K28" s="31"/>
      <c r="L28" s="31"/>
      <c r="M28" s="31"/>
      <c r="N28" s="31"/>
      <c r="O28" s="30"/>
    </row>
    <row r="29" spans="2:15" x14ac:dyDescent="0.45">
      <c r="B29" s="29"/>
      <c r="C29" s="30"/>
      <c r="D29" s="29"/>
      <c r="E29" s="30"/>
      <c r="F29" s="29"/>
      <c r="G29" s="31"/>
      <c r="H29" s="31"/>
      <c r="I29" s="31"/>
      <c r="J29" s="31"/>
      <c r="K29" s="31"/>
      <c r="L29" s="31"/>
      <c r="M29" s="31"/>
      <c r="N29" s="31"/>
      <c r="O29" s="30"/>
    </row>
    <row r="30" spans="2:15" x14ac:dyDescent="0.45">
      <c r="B30" s="29"/>
      <c r="C30" s="30"/>
      <c r="D30" s="29"/>
      <c r="E30" s="30"/>
      <c r="F30" s="29"/>
      <c r="G30" s="31"/>
      <c r="H30" s="31"/>
      <c r="I30" s="31"/>
      <c r="J30" s="31"/>
      <c r="K30" s="31"/>
      <c r="L30" s="31"/>
      <c r="M30" s="31"/>
      <c r="N30" s="31"/>
      <c r="O30" s="30"/>
    </row>
    <row r="31" spans="2:15" x14ac:dyDescent="0.45">
      <c r="B31" s="29"/>
      <c r="C31" s="30"/>
      <c r="D31" s="29"/>
      <c r="E31" s="30"/>
      <c r="F31" s="29"/>
      <c r="G31" s="31"/>
      <c r="H31" s="31"/>
      <c r="I31" s="31"/>
      <c r="J31" s="31"/>
      <c r="K31" s="31"/>
      <c r="L31" s="31"/>
      <c r="M31" s="31"/>
      <c r="N31" s="31"/>
      <c r="O31" s="30"/>
    </row>
  </sheetData>
  <mergeCells count="57">
    <mergeCell ref="B31:C31"/>
    <mergeCell ref="D31:E31"/>
    <mergeCell ref="F31:O31"/>
    <mergeCell ref="J2:K2"/>
    <mergeCell ref="L2:O2"/>
    <mergeCell ref="J3:K3"/>
    <mergeCell ref="L3:O3"/>
    <mergeCell ref="B5:O8"/>
    <mergeCell ref="B22:O22"/>
    <mergeCell ref="B23:C23"/>
    <mergeCell ref="D23:E23"/>
    <mergeCell ref="F23:O23"/>
    <mergeCell ref="Y5:Z5"/>
    <mergeCell ref="AA5:AD5"/>
    <mergeCell ref="Y6:Z6"/>
    <mergeCell ref="AA6:AD6"/>
    <mergeCell ref="B11:C11"/>
    <mergeCell ref="D11:G11"/>
    <mergeCell ref="H11:I11"/>
    <mergeCell ref="J11:L11"/>
    <mergeCell ref="M11:O11"/>
    <mergeCell ref="B12:C13"/>
    <mergeCell ref="D12:G13"/>
    <mergeCell ref="H12:I13"/>
    <mergeCell ref="J12:L13"/>
    <mergeCell ref="M12:O13"/>
    <mergeCell ref="B14:C15"/>
    <mergeCell ref="D14:G15"/>
    <mergeCell ref="H14:I15"/>
    <mergeCell ref="J14:L15"/>
    <mergeCell ref="M14:O15"/>
    <mergeCell ref="B16:C17"/>
    <mergeCell ref="D16:G17"/>
    <mergeCell ref="H16:I17"/>
    <mergeCell ref="J16:L17"/>
    <mergeCell ref="M16:O17"/>
    <mergeCell ref="B24:C24"/>
    <mergeCell ref="D24:E24"/>
    <mergeCell ref="F24:O24"/>
    <mergeCell ref="B25:C25"/>
    <mergeCell ref="D25:E25"/>
    <mergeCell ref="F25:O25"/>
    <mergeCell ref="B26:C26"/>
    <mergeCell ref="D26:E26"/>
    <mergeCell ref="F26:O26"/>
    <mergeCell ref="B27:C27"/>
    <mergeCell ref="D27:E27"/>
    <mergeCell ref="F27:O27"/>
    <mergeCell ref="B30:C30"/>
    <mergeCell ref="D30:E30"/>
    <mergeCell ref="F30:O30"/>
    <mergeCell ref="B28:C28"/>
    <mergeCell ref="D28:E28"/>
    <mergeCell ref="F28:O28"/>
    <mergeCell ref="B29:C29"/>
    <mergeCell ref="D29:E29"/>
    <mergeCell ref="F29:O29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6BED-705F-48B3-A92C-82E88A6C34DC}">
  <sheetPr>
    <pageSetUpPr fitToPage="1"/>
  </sheetPr>
  <dimension ref="B1:K223"/>
  <sheetViews>
    <sheetView tabSelected="1" topLeftCell="A209" zoomScale="70" zoomScaleNormal="70" workbookViewId="0">
      <selection activeCell="H236" sqref="H236"/>
    </sheetView>
  </sheetViews>
  <sheetFormatPr defaultColWidth="9" defaultRowHeight="17" x14ac:dyDescent="0.45"/>
  <cols>
    <col min="1" max="1" width="2" style="1" customWidth="1"/>
    <col min="2" max="2" width="5.33203125" style="1" customWidth="1"/>
    <col min="3" max="3" width="19.75" style="14" customWidth="1"/>
    <col min="4" max="4" width="26.58203125" style="1" customWidth="1"/>
    <col min="5" max="5" width="54.58203125" style="2" customWidth="1"/>
    <col min="6" max="6" width="5.25" style="2" customWidth="1"/>
    <col min="7" max="7" width="19.58203125" style="2" customWidth="1"/>
    <col min="8" max="8" width="21.83203125" style="14" customWidth="1"/>
    <col min="9" max="10" width="30.33203125" style="11" customWidth="1"/>
    <col min="11" max="11" width="60" style="10" customWidth="1"/>
    <col min="12" max="16384" width="9" style="1"/>
  </cols>
  <sheetData>
    <row r="1" spans="2:11" ht="9" customHeight="1" thickBot="1" x14ac:dyDescent="0.5">
      <c r="B1" s="2"/>
      <c r="D1" s="2"/>
      <c r="E1" s="1"/>
      <c r="F1" s="1"/>
      <c r="G1" s="9"/>
      <c r="H1" s="11"/>
      <c r="I1" s="10"/>
      <c r="J1" s="10"/>
      <c r="K1" s="9"/>
    </row>
    <row r="2" spans="2:11" ht="26.15" customHeight="1" x14ac:dyDescent="0.45">
      <c r="B2" s="70" t="s">
        <v>271</v>
      </c>
      <c r="C2" s="71"/>
      <c r="D2" s="71"/>
      <c r="E2" s="71"/>
      <c r="F2" s="72"/>
      <c r="G2" s="9"/>
      <c r="H2" s="11"/>
      <c r="I2" s="10"/>
      <c r="J2" s="10"/>
      <c r="K2" s="9"/>
    </row>
    <row r="3" spans="2:11" ht="26.15" customHeight="1" thickBot="1" x14ac:dyDescent="0.5">
      <c r="B3" s="73"/>
      <c r="C3" s="74"/>
      <c r="D3" s="74"/>
      <c r="E3" s="74"/>
      <c r="F3" s="75"/>
      <c r="G3" s="9"/>
      <c r="H3" s="11"/>
      <c r="I3" s="10"/>
      <c r="J3" s="10"/>
      <c r="K3" s="9"/>
    </row>
    <row r="4" spans="2:11" x14ac:dyDescent="0.45">
      <c r="B4" s="2"/>
      <c r="D4" s="2"/>
      <c r="E4" s="1"/>
      <c r="F4" s="1"/>
      <c r="G4" s="9"/>
      <c r="H4" s="11"/>
      <c r="I4" s="10"/>
      <c r="J4" s="10"/>
      <c r="K4" s="9"/>
    </row>
    <row r="5" spans="2:11" ht="21" x14ac:dyDescent="0.45">
      <c r="B5" s="22" t="s">
        <v>255</v>
      </c>
      <c r="D5" s="2"/>
      <c r="E5" s="1"/>
      <c r="F5" s="1"/>
      <c r="G5" s="9"/>
      <c r="H5" s="11"/>
      <c r="I5" s="10"/>
      <c r="J5" s="10"/>
      <c r="K5" s="9"/>
    </row>
    <row r="6" spans="2:11" x14ac:dyDescent="0.45">
      <c r="B6" s="2"/>
      <c r="D6" s="2"/>
      <c r="E6" s="1"/>
      <c r="F6" s="1"/>
      <c r="G6" s="9"/>
      <c r="H6" s="11"/>
      <c r="I6" s="10"/>
      <c r="J6" s="10"/>
      <c r="K6" s="9"/>
    </row>
    <row r="7" spans="2:11" x14ac:dyDescent="0.45">
      <c r="B7" s="19"/>
      <c r="C7" s="24" t="s">
        <v>242</v>
      </c>
      <c r="D7" s="76" t="s">
        <v>246</v>
      </c>
      <c r="E7" s="76"/>
      <c r="F7" s="76"/>
      <c r="G7" s="9"/>
      <c r="H7" s="11"/>
      <c r="I7" s="10"/>
      <c r="J7" s="10"/>
      <c r="K7" s="9"/>
    </row>
    <row r="8" spans="2:11" x14ac:dyDescent="0.45">
      <c r="B8" s="19"/>
      <c r="C8" s="24" t="s">
        <v>243</v>
      </c>
      <c r="D8" s="76" t="s">
        <v>244</v>
      </c>
      <c r="E8" s="76"/>
      <c r="F8" s="76"/>
      <c r="G8" s="9"/>
      <c r="H8" s="11"/>
      <c r="I8" s="10"/>
      <c r="J8" s="10"/>
      <c r="K8" s="9"/>
    </row>
    <row r="9" spans="2:11" x14ac:dyDescent="0.45">
      <c r="B9" s="20"/>
      <c r="D9" s="2"/>
      <c r="E9" s="1"/>
      <c r="F9" s="1"/>
      <c r="G9" s="9"/>
      <c r="H9" s="11"/>
      <c r="I9" s="10"/>
      <c r="J9" s="10"/>
      <c r="K9" s="9"/>
    </row>
    <row r="10" spans="2:11" ht="21" x14ac:dyDescent="0.45">
      <c r="B10" s="22" t="s">
        <v>245</v>
      </c>
      <c r="C10" s="9"/>
      <c r="D10" s="2"/>
      <c r="E10" s="1"/>
      <c r="F10" s="1"/>
      <c r="G10" s="9"/>
      <c r="H10" s="11"/>
      <c r="I10" s="10"/>
      <c r="J10" s="10"/>
      <c r="K10" s="9"/>
    </row>
    <row r="11" spans="2:11" ht="34" customHeight="1" x14ac:dyDescent="0.45">
      <c r="B11" s="2"/>
      <c r="C11" s="77" t="s">
        <v>249</v>
      </c>
      <c r="D11" s="78"/>
      <c r="E11" s="78"/>
      <c r="F11" s="78"/>
      <c r="G11" s="9"/>
      <c r="H11" s="11"/>
      <c r="I11" s="10"/>
      <c r="J11" s="10"/>
      <c r="K11" s="9"/>
    </row>
    <row r="12" spans="2:11" x14ac:dyDescent="0.45">
      <c r="B12" s="2"/>
      <c r="D12" s="2"/>
      <c r="E12" s="6"/>
      <c r="F12" s="1"/>
      <c r="G12" s="9"/>
      <c r="H12" s="11"/>
      <c r="I12" s="10"/>
      <c r="J12" s="10"/>
      <c r="K12" s="9"/>
    </row>
    <row r="13" spans="2:11" ht="21" x14ac:dyDescent="0.45">
      <c r="B13" s="22" t="s">
        <v>254</v>
      </c>
      <c r="D13" s="2"/>
      <c r="E13" s="7"/>
      <c r="F13" s="1"/>
      <c r="G13" s="9"/>
      <c r="H13" s="11"/>
      <c r="I13" s="10"/>
      <c r="J13" s="10"/>
      <c r="K13" s="9"/>
    </row>
    <row r="14" spans="2:11" x14ac:dyDescent="0.45">
      <c r="B14" s="2"/>
      <c r="C14" s="25"/>
      <c r="D14" s="2"/>
      <c r="E14" s="6"/>
      <c r="F14" s="1"/>
      <c r="G14" s="9"/>
      <c r="H14" s="11"/>
      <c r="I14" s="10"/>
      <c r="J14" s="10"/>
      <c r="K14" s="9"/>
    </row>
    <row r="15" spans="2:11" ht="17.5" x14ac:dyDescent="0.45">
      <c r="B15" s="2"/>
      <c r="C15" s="26" t="s">
        <v>247</v>
      </c>
      <c r="D15" s="79" t="s">
        <v>248</v>
      </c>
      <c r="E15" s="79"/>
      <c r="F15" s="79"/>
      <c r="G15" s="9"/>
      <c r="H15" s="11"/>
      <c r="I15" s="10"/>
      <c r="J15" s="10"/>
      <c r="K15" s="9"/>
    </row>
    <row r="16" spans="2:11" x14ac:dyDescent="0.45">
      <c r="B16" s="2"/>
      <c r="C16" s="27" t="s">
        <v>256</v>
      </c>
      <c r="D16" s="69" t="s">
        <v>257</v>
      </c>
      <c r="E16" s="69"/>
      <c r="F16" s="69"/>
      <c r="G16" s="9"/>
      <c r="H16" s="11"/>
      <c r="I16" s="10"/>
      <c r="J16" s="10"/>
      <c r="K16" s="9"/>
    </row>
    <row r="17" spans="2:11" x14ac:dyDescent="0.45">
      <c r="B17" s="2"/>
      <c r="C17" s="27" t="s">
        <v>258</v>
      </c>
      <c r="D17" s="69" t="s">
        <v>268</v>
      </c>
      <c r="E17" s="69"/>
      <c r="F17" s="69"/>
      <c r="G17" s="9"/>
      <c r="H17" s="11"/>
      <c r="I17" s="10"/>
      <c r="J17" s="10"/>
      <c r="K17" s="9"/>
    </row>
    <row r="18" spans="2:11" x14ac:dyDescent="0.45">
      <c r="B18" s="2"/>
      <c r="C18" s="27" t="s">
        <v>259</v>
      </c>
      <c r="D18" s="69" t="s">
        <v>260</v>
      </c>
      <c r="E18" s="69"/>
      <c r="F18" s="69"/>
      <c r="G18" s="9"/>
      <c r="H18" s="11"/>
      <c r="I18" s="10"/>
      <c r="J18" s="10"/>
      <c r="K18" s="9"/>
    </row>
    <row r="19" spans="2:11" x14ac:dyDescent="0.45">
      <c r="B19" s="2"/>
      <c r="C19" s="27" t="s">
        <v>261</v>
      </c>
      <c r="D19" s="69" t="s">
        <v>269</v>
      </c>
      <c r="E19" s="69"/>
      <c r="F19" s="69"/>
      <c r="G19" s="9"/>
      <c r="H19" s="11"/>
      <c r="I19" s="10"/>
      <c r="J19" s="10"/>
      <c r="K19" s="9"/>
    </row>
    <row r="20" spans="2:11" x14ac:dyDescent="0.45">
      <c r="B20" s="2"/>
      <c r="C20" s="27" t="s">
        <v>250</v>
      </c>
      <c r="D20" s="80" t="s">
        <v>263</v>
      </c>
      <c r="E20" s="81"/>
      <c r="F20" s="82"/>
      <c r="G20" s="9"/>
      <c r="H20" s="11"/>
      <c r="I20" s="10"/>
      <c r="J20" s="10"/>
      <c r="K20" s="9"/>
    </row>
    <row r="21" spans="2:11" x14ac:dyDescent="0.45">
      <c r="B21" s="2"/>
      <c r="C21" s="27" t="s">
        <v>262</v>
      </c>
      <c r="D21" s="80" t="s">
        <v>264</v>
      </c>
      <c r="E21" s="81"/>
      <c r="F21" s="82"/>
      <c r="G21" s="9"/>
      <c r="H21" s="11"/>
      <c r="I21" s="10"/>
      <c r="J21" s="10"/>
      <c r="K21" s="9"/>
    </row>
    <row r="22" spans="2:11" ht="19" customHeight="1" x14ac:dyDescent="0.45">
      <c r="B22" s="2"/>
      <c r="C22" s="27" t="s">
        <v>265</v>
      </c>
      <c r="D22" s="80" t="s">
        <v>266</v>
      </c>
      <c r="E22" s="81"/>
      <c r="F22" s="82"/>
      <c r="G22" s="9"/>
      <c r="H22" s="11"/>
      <c r="I22" s="10"/>
      <c r="J22" s="10"/>
      <c r="K22" s="9"/>
    </row>
    <row r="23" spans="2:11" x14ac:dyDescent="0.45">
      <c r="B23" s="2"/>
      <c r="C23" s="27" t="s">
        <v>251</v>
      </c>
      <c r="D23" s="69" t="s">
        <v>252</v>
      </c>
      <c r="E23" s="69"/>
      <c r="F23" s="69"/>
      <c r="G23" s="9"/>
      <c r="H23" s="11"/>
      <c r="I23" s="10"/>
      <c r="J23" s="10"/>
      <c r="K23" s="9"/>
    </row>
    <row r="24" spans="2:11" x14ac:dyDescent="0.45">
      <c r="B24" s="2"/>
      <c r="C24" s="27" t="s">
        <v>253</v>
      </c>
      <c r="D24" s="69" t="s">
        <v>267</v>
      </c>
      <c r="E24" s="69"/>
      <c r="F24" s="69"/>
      <c r="G24" s="9"/>
      <c r="H24" s="11"/>
      <c r="I24" s="10"/>
      <c r="J24" s="10"/>
      <c r="K24" s="9"/>
    </row>
    <row r="25" spans="2:11" x14ac:dyDescent="0.45">
      <c r="B25" s="2"/>
      <c r="C25" s="28"/>
      <c r="D25" s="23"/>
      <c r="E25" s="21"/>
      <c r="F25" s="21"/>
      <c r="G25" s="9"/>
      <c r="H25" s="11"/>
      <c r="I25" s="10"/>
      <c r="J25" s="10"/>
      <c r="K25" s="9"/>
    </row>
    <row r="26" spans="2:11" x14ac:dyDescent="0.45">
      <c r="B26" s="2"/>
      <c r="C26" s="28"/>
      <c r="D26" s="21"/>
      <c r="E26" s="21"/>
      <c r="F26" s="21"/>
      <c r="G26" s="9"/>
      <c r="H26" s="11"/>
      <c r="I26" s="10"/>
      <c r="J26" s="10"/>
      <c r="K26" s="9"/>
    </row>
    <row r="27" spans="2:11" ht="21" x14ac:dyDescent="0.45">
      <c r="B27" s="22" t="s">
        <v>270</v>
      </c>
      <c r="D27" s="2"/>
      <c r="E27" s="1"/>
      <c r="F27" s="1"/>
      <c r="G27" s="9"/>
      <c r="H27" s="11"/>
      <c r="I27" s="10"/>
      <c r="J27" s="10"/>
      <c r="K27" s="9"/>
    </row>
    <row r="28" spans="2:11" ht="33" customHeight="1" x14ac:dyDescent="0.45">
      <c r="B28" s="85" t="s">
        <v>37</v>
      </c>
      <c r="C28" s="86" t="s">
        <v>63</v>
      </c>
      <c r="D28" s="87" t="s">
        <v>10</v>
      </c>
      <c r="E28" s="87" t="s">
        <v>12</v>
      </c>
      <c r="F28" s="87" t="s">
        <v>11</v>
      </c>
      <c r="G28" s="90" t="s">
        <v>20</v>
      </c>
      <c r="H28" s="83" t="s">
        <v>191</v>
      </c>
      <c r="I28" s="84" t="s">
        <v>15</v>
      </c>
      <c r="J28" s="84" t="s">
        <v>16</v>
      </c>
      <c r="K28" s="84" t="s">
        <v>14</v>
      </c>
    </row>
    <row r="29" spans="2:11" ht="25.5" customHeight="1" x14ac:dyDescent="0.45">
      <c r="B29" s="85"/>
      <c r="C29" s="86"/>
      <c r="D29" s="87"/>
      <c r="E29" s="87"/>
      <c r="F29" s="87"/>
      <c r="G29" s="90"/>
      <c r="H29" s="83"/>
      <c r="I29" s="84"/>
      <c r="J29" s="84"/>
      <c r="K29" s="84"/>
    </row>
    <row r="30" spans="2:11" x14ac:dyDescent="0.45">
      <c r="B30" s="76" t="s">
        <v>100</v>
      </c>
      <c r="C30" s="88" t="s">
        <v>99</v>
      </c>
      <c r="D30" s="4" t="str">
        <f>IF(COUNTA(E30),_xlfn.CONCAT("SW-FW-UnitTest-CFX-ID-",COUNTA(E$30:E30)),"")</f>
        <v>SW-FW-UnitTest-CFX-ID-1</v>
      </c>
      <c r="E30" s="3" t="s">
        <v>34</v>
      </c>
      <c r="F30" s="3" t="s">
        <v>19</v>
      </c>
      <c r="G30" s="3" t="s">
        <v>282</v>
      </c>
      <c r="H30" s="15" t="s">
        <v>13</v>
      </c>
      <c r="I30" s="13" t="s">
        <v>13</v>
      </c>
      <c r="J30" s="13" t="s">
        <v>21</v>
      </c>
      <c r="K30" s="8" t="s">
        <v>22</v>
      </c>
    </row>
    <row r="31" spans="2:11" x14ac:dyDescent="0.45">
      <c r="B31" s="76"/>
      <c r="C31" s="88"/>
      <c r="D31" s="4" t="str">
        <f>IF(COUNTA(E31),_xlfn.CONCAT("SW-FW-UnitTest-CFX-ID-",COUNTA(E$30:E31)),"")</f>
        <v>SW-FW-UnitTest-CFX-ID-2</v>
      </c>
      <c r="E31" s="3" t="s">
        <v>23</v>
      </c>
      <c r="F31" s="3" t="s">
        <v>19</v>
      </c>
      <c r="G31" s="3" t="s">
        <v>283</v>
      </c>
      <c r="H31" s="15" t="s">
        <v>13</v>
      </c>
      <c r="I31" s="13" t="s">
        <v>13</v>
      </c>
      <c r="J31" s="13" t="s">
        <v>21</v>
      </c>
      <c r="K31" s="16" t="str">
        <f t="shared" ref="K31:K49" si="0">_xlfn.CONCAT("- ", E31, " 구현")</f>
        <v>- 타이머 중지 구현</v>
      </c>
    </row>
    <row r="32" spans="2:11" x14ac:dyDescent="0.45">
      <c r="B32" s="76"/>
      <c r="C32" s="88"/>
      <c r="D32" s="4" t="str">
        <f>IF(COUNTA(E32),_xlfn.CONCAT("SW-FW-UnitTest-CFX-ID-",COUNTA(E$30:E32)),"")</f>
        <v>SW-FW-UnitTest-CFX-ID-3</v>
      </c>
      <c r="E32" s="3" t="s">
        <v>24</v>
      </c>
      <c r="F32" s="3" t="s">
        <v>19</v>
      </c>
      <c r="G32" s="3" t="s">
        <v>284</v>
      </c>
      <c r="H32" s="15" t="s">
        <v>13</v>
      </c>
      <c r="I32" s="13" t="s">
        <v>13</v>
      </c>
      <c r="J32" s="13" t="s">
        <v>21</v>
      </c>
      <c r="K32" s="16" t="str">
        <f t="shared" si="0"/>
        <v>- 인터럽트 초기화 구현</v>
      </c>
    </row>
    <row r="33" spans="2:11" x14ac:dyDescent="0.45">
      <c r="B33" s="76"/>
      <c r="C33" s="88"/>
      <c r="D33" s="4" t="str">
        <f>IF(COUNTA(E33),_xlfn.CONCAT("SW-FW-UnitTest-CFX-ID-",COUNTA(E$30:E33)),"")</f>
        <v>SW-FW-UnitTest-CFX-ID-4</v>
      </c>
      <c r="E33" s="3" t="s">
        <v>25</v>
      </c>
      <c r="F33" s="3" t="s">
        <v>19</v>
      </c>
      <c r="G33" s="3" t="s">
        <v>285</v>
      </c>
      <c r="H33" s="15" t="s">
        <v>13</v>
      </c>
      <c r="I33" s="13" t="s">
        <v>13</v>
      </c>
      <c r="J33" s="13" t="s">
        <v>21</v>
      </c>
      <c r="K33" s="16" t="str">
        <f t="shared" si="0"/>
        <v>- 저전력 모드 비활성화 구현</v>
      </c>
    </row>
    <row r="34" spans="2:11" x14ac:dyDescent="0.45">
      <c r="B34" s="76"/>
      <c r="C34" s="88"/>
      <c r="D34" s="4" t="str">
        <f>IF(COUNTA(E34),_xlfn.CONCAT("SW-FW-UnitTest-CFX-ID-",COUNTA(E$30:E34)),"")</f>
        <v>SW-FW-UnitTest-CFX-ID-5</v>
      </c>
      <c r="E34" s="3" t="s">
        <v>26</v>
      </c>
      <c r="F34" s="3" t="s">
        <v>19</v>
      </c>
      <c r="G34" s="3" t="s">
        <v>286</v>
      </c>
      <c r="H34" s="15" t="s">
        <v>13</v>
      </c>
      <c r="I34" s="13" t="s">
        <v>13</v>
      </c>
      <c r="J34" s="13" t="s">
        <v>21</v>
      </c>
      <c r="K34" s="16" t="str">
        <f t="shared" si="0"/>
        <v>- 전원 안정화 대기 구현</v>
      </c>
    </row>
    <row r="35" spans="2:11" x14ac:dyDescent="0.45">
      <c r="B35" s="76"/>
      <c r="C35" s="88"/>
      <c r="D35" s="4" t="str">
        <f>IF(COUNTA(E35),_xlfn.CONCAT("SW-FW-UnitTest-CFX-ID-",COUNTA(E$30:E35)),"")</f>
        <v>SW-FW-UnitTest-CFX-ID-6</v>
      </c>
      <c r="E35" s="3" t="s">
        <v>27</v>
      </c>
      <c r="F35" s="3" t="s">
        <v>19</v>
      </c>
      <c r="G35" s="3" t="s">
        <v>287</v>
      </c>
      <c r="H35" s="15" t="s">
        <v>13</v>
      </c>
      <c r="I35" s="13" t="s">
        <v>13</v>
      </c>
      <c r="J35" s="13" t="s">
        <v>21</v>
      </c>
      <c r="K35" s="16" t="str">
        <f t="shared" si="0"/>
        <v>- MCU 리셋 및 중지 구현</v>
      </c>
    </row>
    <row r="36" spans="2:11" x14ac:dyDescent="0.45">
      <c r="B36" s="76"/>
      <c r="C36" s="88"/>
      <c r="D36" s="4" t="str">
        <f>IF(COUNTA(E36),_xlfn.CONCAT("SW-FW-UnitTest-CFX-ID-",COUNTA(E$30:E36)),"")</f>
        <v>SW-FW-UnitTest-CFX-ID-7</v>
      </c>
      <c r="E36" s="3" t="s">
        <v>28</v>
      </c>
      <c r="F36" s="3" t="s">
        <v>19</v>
      </c>
      <c r="G36" s="3" t="s">
        <v>288</v>
      </c>
      <c r="H36" s="15" t="s">
        <v>13</v>
      </c>
      <c r="I36" s="13" t="s">
        <v>13</v>
      </c>
      <c r="J36" s="13" t="s">
        <v>21</v>
      </c>
      <c r="K36" s="16" t="str">
        <f t="shared" si="0"/>
        <v>- 동작 클럭 설정 구현</v>
      </c>
    </row>
    <row r="37" spans="2:11" x14ac:dyDescent="0.45">
      <c r="B37" s="76"/>
      <c r="C37" s="88"/>
      <c r="D37" s="4" t="str">
        <f>IF(COUNTA(E37),_xlfn.CONCAT("SW-FW-UnitTest-CFX-ID-",COUNTA(E$30:E37)),"")</f>
        <v>SW-FW-UnitTest-CFX-ID-8</v>
      </c>
      <c r="E37" s="3" t="s">
        <v>29</v>
      </c>
      <c r="F37" s="3" t="s">
        <v>19</v>
      </c>
      <c r="G37" s="3" t="s">
        <v>289</v>
      </c>
      <c r="H37" s="15" t="s">
        <v>13</v>
      </c>
      <c r="I37" s="13" t="s">
        <v>13</v>
      </c>
      <c r="J37" s="13" t="s">
        <v>21</v>
      </c>
      <c r="K37" s="16" t="str">
        <f t="shared" si="0"/>
        <v>- 메인 MCU 초기화 구현</v>
      </c>
    </row>
    <row r="38" spans="2:11" x14ac:dyDescent="0.45">
      <c r="B38" s="76"/>
      <c r="C38" s="88"/>
      <c r="D38" s="4" t="str">
        <f>IF(COUNTA(E38),_xlfn.CONCAT("SW-FW-UnitTest-CFX-ID-",COUNTA(E$30:E38)),"")</f>
        <v>SW-FW-UnitTest-CFX-ID-9</v>
      </c>
      <c r="E38" s="3" t="s">
        <v>30</v>
      </c>
      <c r="F38" s="3" t="s">
        <v>19</v>
      </c>
      <c r="G38" s="3" t="s">
        <v>290</v>
      </c>
      <c r="H38" s="15" t="s">
        <v>13</v>
      </c>
      <c r="I38" s="13" t="s">
        <v>13</v>
      </c>
      <c r="J38" s="13" t="s">
        <v>21</v>
      </c>
      <c r="K38" s="16" t="str">
        <f t="shared" si="0"/>
        <v>- 입/출력단 비활성화 구현</v>
      </c>
    </row>
    <row r="39" spans="2:11" x14ac:dyDescent="0.45">
      <c r="B39" s="76"/>
      <c r="C39" s="88"/>
      <c r="D39" s="4" t="str">
        <f>IF(COUNTA(E39),_xlfn.CONCAT("SW-FW-UnitTest-CFX-ID-",COUNTA(E$30:E39)),"")</f>
        <v>SW-FW-UnitTest-CFX-ID-10</v>
      </c>
      <c r="E39" s="3" t="s">
        <v>31</v>
      </c>
      <c r="F39" s="3" t="s">
        <v>19</v>
      </c>
      <c r="G39" s="3" t="s">
        <v>291</v>
      </c>
      <c r="H39" s="15" t="s">
        <v>13</v>
      </c>
      <c r="I39" s="13" t="s">
        <v>13</v>
      </c>
      <c r="J39" s="13" t="s">
        <v>21</v>
      </c>
      <c r="K39" s="16" t="str">
        <f t="shared" si="0"/>
        <v>- FIFO 초기화 구현</v>
      </c>
    </row>
    <row r="40" spans="2:11" x14ac:dyDescent="0.45">
      <c r="B40" s="76"/>
      <c r="C40" s="88"/>
      <c r="D40" s="4" t="str">
        <f>IF(COUNTA(E40),_xlfn.CONCAT("SW-FW-UnitTest-CFX-ID-",COUNTA(E$30:E40)),"")</f>
        <v>SW-FW-UnitTest-CFX-ID-11</v>
      </c>
      <c r="E40" s="3" t="s">
        <v>32</v>
      </c>
      <c r="F40" s="3" t="s">
        <v>19</v>
      </c>
      <c r="G40" s="3" t="s">
        <v>292</v>
      </c>
      <c r="H40" s="15" t="s">
        <v>13</v>
      </c>
      <c r="I40" s="13" t="s">
        <v>13</v>
      </c>
      <c r="J40" s="13" t="s">
        <v>21</v>
      </c>
      <c r="K40" s="16" t="str">
        <f t="shared" si="0"/>
        <v>- IOC 설정 구현</v>
      </c>
    </row>
    <row r="41" spans="2:11" x14ac:dyDescent="0.45">
      <c r="B41" s="76"/>
      <c r="C41" s="88"/>
      <c r="D41" s="4" t="str">
        <f>IF(COUNTA(E41),_xlfn.CONCAT("SW-FW-UnitTest-CFX-ID-",COUNTA(E$30:E41)),"")</f>
        <v>SW-FW-UnitTest-CFX-ID-12</v>
      </c>
      <c r="E41" s="3" t="s">
        <v>33</v>
      </c>
      <c r="F41" s="3" t="s">
        <v>19</v>
      </c>
      <c r="G41" s="3" t="s">
        <v>293</v>
      </c>
      <c r="H41" s="15" t="s">
        <v>13</v>
      </c>
      <c r="I41" s="13" t="s">
        <v>13</v>
      </c>
      <c r="J41" s="13" t="s">
        <v>21</v>
      </c>
      <c r="K41" s="16" t="str">
        <f t="shared" si="0"/>
        <v>- 오디오 MUX 설정 구현</v>
      </c>
    </row>
    <row r="42" spans="2:11" x14ac:dyDescent="0.45">
      <c r="B42" s="76"/>
      <c r="C42" s="88"/>
      <c r="D42" s="4" t="str">
        <f>IF(COUNTA(E42),_xlfn.CONCAT("SW-FW-UnitTest-CFX-ID-",COUNTA(E$30:E42)),"")</f>
        <v>SW-FW-UnitTest-CFX-ID-13</v>
      </c>
      <c r="E42" s="3" t="s">
        <v>38</v>
      </c>
      <c r="F42" s="3" t="s">
        <v>19</v>
      </c>
      <c r="G42" s="3" t="s">
        <v>294</v>
      </c>
      <c r="H42" s="15" t="s">
        <v>13</v>
      </c>
      <c r="I42" s="13" t="s">
        <v>13</v>
      </c>
      <c r="J42" s="13" t="s">
        <v>21</v>
      </c>
      <c r="K42" s="16" t="str">
        <f t="shared" si="0"/>
        <v>- ADC 설정 구현</v>
      </c>
    </row>
    <row r="43" spans="2:11" x14ac:dyDescent="0.45">
      <c r="B43" s="76"/>
      <c r="C43" s="88"/>
      <c r="D43" s="4" t="str">
        <f>IF(COUNTA(E43),_xlfn.CONCAT("SW-FW-UnitTest-CFX-ID-",COUNTA(E$30:E43)),"")</f>
        <v>SW-FW-UnitTest-CFX-ID-14</v>
      </c>
      <c r="E43" s="3" t="s">
        <v>39</v>
      </c>
      <c r="F43" s="3" t="s">
        <v>19</v>
      </c>
      <c r="G43" s="3" t="s">
        <v>295</v>
      </c>
      <c r="H43" s="15" t="s">
        <v>13</v>
      </c>
      <c r="I43" s="13" t="s">
        <v>13</v>
      </c>
      <c r="J43" s="13" t="s">
        <v>21</v>
      </c>
      <c r="K43" s="16" t="str">
        <f t="shared" si="0"/>
        <v>- DAC 설정 구현</v>
      </c>
    </row>
    <row r="44" spans="2:11" x14ac:dyDescent="0.45">
      <c r="B44" s="76"/>
      <c r="C44" s="88"/>
      <c r="D44" s="4" t="str">
        <f>IF(COUNTA(E44),_xlfn.CONCAT("SW-FW-UnitTest-CFX-ID-",COUNTA(E$30:E44)),"")</f>
        <v>SW-FW-UnitTest-CFX-ID-15</v>
      </c>
      <c r="E44" s="3" t="s">
        <v>61</v>
      </c>
      <c r="F44" s="3" t="s">
        <v>19</v>
      </c>
      <c r="G44" s="3" t="s">
        <v>296</v>
      </c>
      <c r="H44" s="15" t="s">
        <v>13</v>
      </c>
      <c r="I44" s="13" t="s">
        <v>13</v>
      </c>
      <c r="J44" s="13" t="s">
        <v>21</v>
      </c>
      <c r="K44" s="16" t="str">
        <f t="shared" si="0"/>
        <v>- LSAD 설정 구현</v>
      </c>
    </row>
    <row r="45" spans="2:11" x14ac:dyDescent="0.45">
      <c r="B45" s="76"/>
      <c r="C45" s="88"/>
      <c r="D45" s="4" t="str">
        <f>IF(COUNTA(E45),_xlfn.CONCAT("SW-FW-UnitTest-CFX-ID-",COUNTA(E$30:E45)),"")</f>
        <v>SW-FW-UnitTest-CFX-ID-16</v>
      </c>
      <c r="E45" s="3" t="s">
        <v>40</v>
      </c>
      <c r="F45" s="3" t="s">
        <v>19</v>
      </c>
      <c r="G45" s="3" t="s">
        <v>296</v>
      </c>
      <c r="H45" s="15" t="s">
        <v>13</v>
      </c>
      <c r="I45" s="13" t="s">
        <v>13</v>
      </c>
      <c r="J45" s="13" t="s">
        <v>21</v>
      </c>
      <c r="K45" s="16" t="str">
        <f t="shared" si="0"/>
        <v>- Hear Core, Fuction chain 활성화 구현</v>
      </c>
    </row>
    <row r="46" spans="2:11" x14ac:dyDescent="0.45">
      <c r="B46" s="76"/>
      <c r="C46" s="88"/>
      <c r="D46" s="4" t="str">
        <f>IF(COUNTA(E46),_xlfn.CONCAT("SW-FW-UnitTest-CFX-ID-",COUNTA(E$30:E46)),"")</f>
        <v>SW-FW-UnitTest-CFX-ID-17</v>
      </c>
      <c r="E46" s="3" t="s">
        <v>41</v>
      </c>
      <c r="F46" s="3" t="s">
        <v>19</v>
      </c>
      <c r="G46" s="3" t="s">
        <v>297</v>
      </c>
      <c r="H46" s="15" t="s">
        <v>13</v>
      </c>
      <c r="I46" s="13" t="s">
        <v>13</v>
      </c>
      <c r="J46" s="13" t="s">
        <v>21</v>
      </c>
      <c r="K46" s="16" t="str">
        <f t="shared" si="0"/>
        <v>- 인터럽트 설정 1차 구현</v>
      </c>
    </row>
    <row r="47" spans="2:11" x14ac:dyDescent="0.45">
      <c r="B47" s="76"/>
      <c r="C47" s="88"/>
      <c r="D47" s="4" t="str">
        <f>IF(COUNTA(E47),_xlfn.CONCAT("SW-FW-UnitTest-CFX-ID-",COUNTA(E$30:E47)),"")</f>
        <v>SW-FW-UnitTest-CFX-ID-18</v>
      </c>
      <c r="E47" s="3" t="s">
        <v>42</v>
      </c>
      <c r="F47" s="3" t="s">
        <v>19</v>
      </c>
      <c r="G47" s="3" t="s">
        <v>298</v>
      </c>
      <c r="H47" s="15" t="s">
        <v>13</v>
      </c>
      <c r="I47" s="13" t="s">
        <v>13</v>
      </c>
      <c r="J47" s="13" t="s">
        <v>21</v>
      </c>
      <c r="K47" s="16" t="str">
        <f t="shared" si="0"/>
        <v>- DIO 설정  2차 구현</v>
      </c>
    </row>
    <row r="48" spans="2:11" x14ac:dyDescent="0.45">
      <c r="B48" s="76"/>
      <c r="C48" s="88"/>
      <c r="D48" s="4" t="str">
        <f>IF(COUNTA(E48),_xlfn.CONCAT("SW-FW-UnitTest-CFX-ID-",COUNTA(E$30:E48)),"")</f>
        <v>SW-FW-UnitTest-CFX-ID-19</v>
      </c>
      <c r="E48" s="3" t="s">
        <v>35</v>
      </c>
      <c r="F48" s="3" t="s">
        <v>19</v>
      </c>
      <c r="G48" s="3" t="s">
        <v>299</v>
      </c>
      <c r="H48" s="15" t="s">
        <v>13</v>
      </c>
      <c r="I48" s="13" t="s">
        <v>13</v>
      </c>
      <c r="J48" s="13" t="s">
        <v>21</v>
      </c>
      <c r="K48" s="16" t="str">
        <f t="shared" si="0"/>
        <v>- MCU 시작 구현</v>
      </c>
    </row>
    <row r="49" spans="2:11" x14ac:dyDescent="0.45">
      <c r="B49" s="76"/>
      <c r="C49" s="88"/>
      <c r="D49" s="4" t="str">
        <f>IF(COUNTA(E49),_xlfn.CONCAT("SW-FW-UnitTest-CFX-ID-",COUNTA(E$30:E49)),"")</f>
        <v>SW-FW-UnitTest-CFX-ID-20</v>
      </c>
      <c r="E49" s="3" t="s">
        <v>43</v>
      </c>
      <c r="F49" s="3" t="s">
        <v>19</v>
      </c>
      <c r="G49" s="3" t="s">
        <v>300</v>
      </c>
      <c r="H49" s="15" t="s">
        <v>13</v>
      </c>
      <c r="I49" s="13" t="s">
        <v>13</v>
      </c>
      <c r="J49" s="13" t="s">
        <v>21</v>
      </c>
      <c r="K49" s="16" t="str">
        <f t="shared" si="0"/>
        <v>- 메모리 초기화 대기 구현</v>
      </c>
    </row>
    <row r="50" spans="2:11" x14ac:dyDescent="0.45">
      <c r="B50" s="76"/>
      <c r="C50" s="88"/>
      <c r="D50" s="4" t="str">
        <f>IF(COUNTA(E50),_xlfn.CONCAT("SW-FW-UnitTest-CFX-ID-",COUNTA(E$30:E50)),"")</f>
        <v>SW-FW-UnitTest-CFX-ID-21</v>
      </c>
      <c r="E50" s="3" t="s">
        <v>44</v>
      </c>
      <c r="F50" s="3" t="s">
        <v>19</v>
      </c>
      <c r="G50" s="3" t="s">
        <v>301</v>
      </c>
      <c r="H50" s="15" t="s">
        <v>13</v>
      </c>
      <c r="I50" s="13" t="s">
        <v>13</v>
      </c>
      <c r="J50" s="13" t="s">
        <v>21</v>
      </c>
      <c r="K50" s="8" t="s">
        <v>22</v>
      </c>
    </row>
    <row r="51" spans="2:11" x14ac:dyDescent="0.45">
      <c r="B51" s="76"/>
      <c r="C51" s="88"/>
      <c r="D51" s="4" t="str">
        <f>IF(COUNTA(E51),_xlfn.CONCAT("SW-FW-UnitTest-CFX-ID-",COUNTA(E$30:E51)),"")</f>
        <v>SW-FW-UnitTest-CFX-ID-22</v>
      </c>
      <c r="E51" s="3" t="s">
        <v>36</v>
      </c>
      <c r="F51" s="3" t="s">
        <v>19</v>
      </c>
      <c r="G51" s="3" t="s">
        <v>302</v>
      </c>
      <c r="H51" s="15" t="s">
        <v>13</v>
      </c>
      <c r="I51" s="13" t="s">
        <v>13</v>
      </c>
      <c r="J51" s="13" t="s">
        <v>21</v>
      </c>
      <c r="K51" s="16" t="str">
        <f t="shared" ref="K51:K76" si="1">_xlfn.CONCAT("- ", E51, " 구현")</f>
        <v>- 인터럽트 설정 2차 구현</v>
      </c>
    </row>
    <row r="52" spans="2:11" x14ac:dyDescent="0.45">
      <c r="B52" s="76"/>
      <c r="C52" s="88"/>
      <c r="D52" s="4" t="str">
        <f>IF(COUNTA(E52),_xlfn.CONCAT("SW-FW-UnitTest-CFX-ID-",COUNTA(E$30:E52)),"")</f>
        <v>SW-FW-UnitTest-CFX-ID-23</v>
      </c>
      <c r="E52" s="3" t="s">
        <v>45</v>
      </c>
      <c r="F52" s="3" t="s">
        <v>19</v>
      </c>
      <c r="G52" s="3" t="s">
        <v>303</v>
      </c>
      <c r="H52" s="15" t="s">
        <v>13</v>
      </c>
      <c r="I52" s="13" t="s">
        <v>13</v>
      </c>
      <c r="J52" s="13" t="s">
        <v>21</v>
      </c>
      <c r="K52" s="16" t="str">
        <f t="shared" si="1"/>
        <v>- 인터럽트 서비스 루틴 구현</v>
      </c>
    </row>
    <row r="53" spans="2:11" x14ac:dyDescent="0.45">
      <c r="B53" s="76"/>
      <c r="C53" s="88"/>
      <c r="D53" s="4" t="str">
        <f>IF(COUNTA(E53),_xlfn.CONCAT("SW-FW-UnitTest-CFX-ID-",COUNTA(E$30:E53)),"")</f>
        <v>SW-FW-UnitTest-CFX-ID-24</v>
      </c>
      <c r="E53" s="3" t="s">
        <v>224</v>
      </c>
      <c r="F53" s="3" t="s">
        <v>19</v>
      </c>
      <c r="G53" s="3" t="s">
        <v>304</v>
      </c>
      <c r="H53" s="15" t="s">
        <v>13</v>
      </c>
      <c r="I53" s="13" t="s">
        <v>13</v>
      </c>
      <c r="J53" s="13" t="s">
        <v>21</v>
      </c>
      <c r="K53" s="16" t="str">
        <f t="shared" si="1"/>
        <v>- 저전력 모드 전환,  입/출력단 비활성화 구현</v>
      </c>
    </row>
    <row r="54" spans="2:11" x14ac:dyDescent="0.45">
      <c r="B54" s="76"/>
      <c r="C54" s="88"/>
      <c r="D54" s="4" t="str">
        <f>IF(COUNTA(E54),_xlfn.CONCAT("SW-FW-UnitTest-CFX-ID-",COUNTA(E$30:E54)),"")</f>
        <v>SW-FW-UnitTest-CFX-ID-25</v>
      </c>
      <c r="E54" s="3" t="s">
        <v>223</v>
      </c>
      <c r="F54" s="3" t="s">
        <v>19</v>
      </c>
      <c r="G54" s="3" t="s">
        <v>305</v>
      </c>
      <c r="H54" s="15" t="s">
        <v>13</v>
      </c>
      <c r="I54" s="13" t="s">
        <v>13</v>
      </c>
      <c r="J54" s="13" t="s">
        <v>21</v>
      </c>
      <c r="K54" s="16" t="str">
        <f t="shared" si="1"/>
        <v>- 저전력 모드 전환, IOC 비활성화 구현</v>
      </c>
    </row>
    <row r="55" spans="2:11" x14ac:dyDescent="0.45">
      <c r="B55" s="76"/>
      <c r="C55" s="88"/>
      <c r="D55" s="4" t="str">
        <f>IF(COUNTA(E55),_xlfn.CONCAT("SW-FW-UnitTest-CFX-ID-",COUNTA(E$30:E55)),"")</f>
        <v>SW-FW-UnitTest-CFX-ID-26</v>
      </c>
      <c r="E55" s="3" t="s">
        <v>225</v>
      </c>
      <c r="F55" s="3" t="s">
        <v>19</v>
      </c>
      <c r="G55" s="3" t="s">
        <v>306</v>
      </c>
      <c r="H55" s="15" t="s">
        <v>13</v>
      </c>
      <c r="I55" s="13" t="s">
        <v>13</v>
      </c>
      <c r="J55" s="13" t="s">
        <v>21</v>
      </c>
      <c r="K55" s="16" t="str">
        <f t="shared" si="1"/>
        <v>- 저전력 모드 전환, FIFO 비활성화 구현</v>
      </c>
    </row>
    <row r="56" spans="2:11" x14ac:dyDescent="0.45">
      <c r="B56" s="76"/>
      <c r="C56" s="88"/>
      <c r="D56" s="4" t="str">
        <f>IF(COUNTA(E56),_xlfn.CONCAT("SW-FW-UnitTest-CFX-ID-",COUNTA(E$30:E56)),"")</f>
        <v>SW-FW-UnitTest-CFX-ID-27</v>
      </c>
      <c r="E56" s="3" t="s">
        <v>226</v>
      </c>
      <c r="F56" s="3" t="s">
        <v>19</v>
      </c>
      <c r="G56" s="3" t="s">
        <v>307</v>
      </c>
      <c r="H56" s="15" t="s">
        <v>13</v>
      </c>
      <c r="I56" s="13" t="s">
        <v>13</v>
      </c>
      <c r="J56" s="13" t="s">
        <v>21</v>
      </c>
      <c r="K56" s="16" t="str">
        <f t="shared" si="1"/>
        <v>- 저전력 모드 전환, FIFO 버퍼 초기화 구현</v>
      </c>
    </row>
    <row r="57" spans="2:11" x14ac:dyDescent="0.45">
      <c r="B57" s="76"/>
      <c r="C57" s="88"/>
      <c r="D57" s="4" t="str">
        <f>IF(COUNTA(E57),_xlfn.CONCAT("SW-FW-UnitTest-CFX-ID-",COUNTA(E$30:E57)),"")</f>
        <v>SW-FW-UnitTest-CFX-ID-28</v>
      </c>
      <c r="E57" s="3" t="s">
        <v>227</v>
      </c>
      <c r="F57" s="3" t="s">
        <v>19</v>
      </c>
      <c r="G57" s="3" t="s">
        <v>308</v>
      </c>
      <c r="H57" s="15" t="s">
        <v>13</v>
      </c>
      <c r="I57" s="13" t="s">
        <v>13</v>
      </c>
      <c r="J57" s="13" t="s">
        <v>21</v>
      </c>
      <c r="K57" s="16" t="str">
        <f t="shared" si="1"/>
        <v>- 저전력 모드 전환,  모드 DIO 설정 구현</v>
      </c>
    </row>
    <row r="58" spans="2:11" x14ac:dyDescent="0.45">
      <c r="B58" s="76"/>
      <c r="C58" s="88"/>
      <c r="D58" s="4" t="str">
        <f>IF(COUNTA(E58),_xlfn.CONCAT("SW-FW-UnitTest-CFX-ID-",COUNTA(E$30:E58)),"")</f>
        <v>SW-FW-UnitTest-CFX-ID-29</v>
      </c>
      <c r="E58" s="3" t="s">
        <v>230</v>
      </c>
      <c r="F58" s="3" t="s">
        <v>19</v>
      </c>
      <c r="G58" s="3" t="s">
        <v>309</v>
      </c>
      <c r="H58" s="15" t="s">
        <v>13</v>
      </c>
      <c r="I58" s="13" t="s">
        <v>13</v>
      </c>
      <c r="J58" s="13" t="s">
        <v>21</v>
      </c>
      <c r="K58" s="16" t="str">
        <f t="shared" si="1"/>
        <v>- 저전력 모드 전환, 인터럽트 설정 구현</v>
      </c>
    </row>
    <row r="59" spans="2:11" x14ac:dyDescent="0.45">
      <c r="B59" s="76"/>
      <c r="C59" s="88"/>
      <c r="D59" s="4" t="str">
        <f>IF(COUNTA(E59),_xlfn.CONCAT("SW-FW-UnitTest-CFX-ID-",COUNTA(E$30:E59)),"")</f>
        <v>SW-FW-UnitTest-CFX-ID-30</v>
      </c>
      <c r="E59" s="3" t="s">
        <v>46</v>
      </c>
      <c r="F59" s="3" t="s">
        <v>19</v>
      </c>
      <c r="G59" s="3" t="s">
        <v>310</v>
      </c>
      <c r="H59" s="15" t="s">
        <v>13</v>
      </c>
      <c r="I59" s="13" t="s">
        <v>13</v>
      </c>
      <c r="J59" s="13" t="s">
        <v>21</v>
      </c>
      <c r="K59" s="16" t="str">
        <f t="shared" si="1"/>
        <v>- 저전력 모드전환 구현</v>
      </c>
    </row>
    <row r="60" spans="2:11" x14ac:dyDescent="0.45">
      <c r="B60" s="76"/>
      <c r="C60" s="88"/>
      <c r="D60" s="4" t="str">
        <f>IF(COUNTA(E60),_xlfn.CONCAT("SW-FW-UnitTest-CFX-ID-",COUNTA(E$30:E60)),"")</f>
        <v>SW-FW-UnitTest-CFX-ID-31</v>
      </c>
      <c r="E60" s="3" t="s">
        <v>228</v>
      </c>
      <c r="F60" s="3" t="s">
        <v>19</v>
      </c>
      <c r="G60" s="3" t="s">
        <v>311</v>
      </c>
      <c r="H60" s="15" t="s">
        <v>13</v>
      </c>
      <c r="I60" s="13" t="s">
        <v>13</v>
      </c>
      <c r="J60" s="13" t="s">
        <v>21</v>
      </c>
      <c r="K60" s="16" t="str">
        <f t="shared" si="1"/>
        <v>- 저전력 모드 전환, 클럭 조정 구현</v>
      </c>
    </row>
    <row r="61" spans="2:11" x14ac:dyDescent="0.45">
      <c r="B61" s="76"/>
      <c r="C61" s="88"/>
      <c r="D61" s="4" t="str">
        <f>IF(COUNTA(E61),_xlfn.CONCAT("SW-FW-UnitTest-CFX-ID-",COUNTA(E$30:E61)),"")</f>
        <v>SW-FW-UnitTest-CFX-ID-32</v>
      </c>
      <c r="E61" s="3" t="s">
        <v>229</v>
      </c>
      <c r="F61" s="3" t="s">
        <v>19</v>
      </c>
      <c r="G61" s="3" t="s">
        <v>312</v>
      </c>
      <c r="H61" s="15" t="s">
        <v>13</v>
      </c>
      <c r="I61" s="13" t="s">
        <v>13</v>
      </c>
      <c r="J61" s="13" t="s">
        <v>21</v>
      </c>
      <c r="K61" s="16" t="str">
        <f t="shared" si="1"/>
        <v>- 저전력 모드 전환,  타이머 설정 구현</v>
      </c>
    </row>
    <row r="62" spans="2:11" x14ac:dyDescent="0.45">
      <c r="B62" s="76"/>
      <c r="C62" s="88"/>
      <c r="D62" s="4" t="str">
        <f>IF(COUNTA(E62),_xlfn.CONCAT("SW-FW-UnitTest-CFX-ID-",COUNTA(E$30:E62)),"")</f>
        <v>SW-FW-UnitTest-CFX-ID-33</v>
      </c>
      <c r="E62" s="5" t="s">
        <v>47</v>
      </c>
      <c r="F62" s="3" t="s">
        <v>19</v>
      </c>
      <c r="G62" s="3" t="s">
        <v>313</v>
      </c>
      <c r="H62" s="15" t="s">
        <v>13</v>
      </c>
      <c r="I62" s="13" t="s">
        <v>13</v>
      </c>
      <c r="J62" s="13" t="s">
        <v>21</v>
      </c>
      <c r="K62" s="17" t="str">
        <f>_xlfn.CONCAT("- ", E62, " 구현")</f>
        <v>- windowing 계수 읽기 구현</v>
      </c>
    </row>
    <row r="63" spans="2:11" x14ac:dyDescent="0.45">
      <c r="B63" s="76"/>
      <c r="C63" s="88"/>
      <c r="D63" s="4" t="str">
        <f>IF(COUNTA(E63),_xlfn.CONCAT("SW-FW-UnitTest-CFX-ID-",COUNTA(E$30:E63)),"")</f>
        <v>SW-FW-UnitTest-CFX-ID-34</v>
      </c>
      <c r="E63" s="3" t="s">
        <v>48</v>
      </c>
      <c r="F63" s="3" t="s">
        <v>19</v>
      </c>
      <c r="G63" s="3" t="s">
        <v>314</v>
      </c>
      <c r="H63" s="15" t="s">
        <v>13</v>
      </c>
      <c r="I63" s="13" t="s">
        <v>13</v>
      </c>
      <c r="J63" s="13" t="s">
        <v>21</v>
      </c>
      <c r="K63" s="16" t="str">
        <f t="shared" si="1"/>
        <v>- 내부기 정보 읽기  구현</v>
      </c>
    </row>
    <row r="64" spans="2:11" x14ac:dyDescent="0.45">
      <c r="B64" s="76"/>
      <c r="C64" s="88"/>
      <c r="D64" s="4" t="str">
        <f>IF(COUNTA(E64),_xlfn.CONCAT("SW-FW-UnitTest-CFX-ID-",COUNTA(E$30:E64)),"")</f>
        <v>SW-FW-UnitTest-CFX-ID-35</v>
      </c>
      <c r="E64" s="3" t="s">
        <v>49</v>
      </c>
      <c r="F64" s="3" t="s">
        <v>19</v>
      </c>
      <c r="G64" s="3" t="s">
        <v>315</v>
      </c>
      <c r="H64" s="15" t="s">
        <v>13</v>
      </c>
      <c r="I64" s="13" t="s">
        <v>13</v>
      </c>
      <c r="J64" s="13" t="s">
        <v>21</v>
      </c>
      <c r="K64" s="16" t="str">
        <f t="shared" si="1"/>
        <v>- 배터리 전압 교정값 읽기 구현</v>
      </c>
    </row>
    <row r="65" spans="2:11" x14ac:dyDescent="0.45">
      <c r="B65" s="76"/>
      <c r="C65" s="88"/>
      <c r="D65" s="4" t="str">
        <f>IF(COUNTA(E65),_xlfn.CONCAT("SW-FW-UnitTest-CFX-ID-",COUNTA(E$30:E65)),"")</f>
        <v>SW-FW-UnitTest-CFX-ID-36</v>
      </c>
      <c r="E65" s="3" t="s">
        <v>50</v>
      </c>
      <c r="F65" s="3" t="s">
        <v>19</v>
      </c>
      <c r="G65" s="3" t="s">
        <v>316</v>
      </c>
      <c r="H65" s="15" t="s">
        <v>13</v>
      </c>
      <c r="I65" s="13" t="s">
        <v>13</v>
      </c>
      <c r="J65" s="13" t="s">
        <v>21</v>
      </c>
      <c r="K65" s="16" t="str">
        <f t="shared" si="1"/>
        <v>- 맵 정보 읽기 구현</v>
      </c>
    </row>
    <row r="66" spans="2:11" x14ac:dyDescent="0.45">
      <c r="B66" s="76"/>
      <c r="C66" s="88"/>
      <c r="D66" s="4" t="str">
        <f>IF(COUNTA(E66),_xlfn.CONCAT("SW-FW-UnitTest-CFX-ID-",COUNTA(E$30:E66)),"")</f>
        <v>SW-FW-UnitTest-CFX-ID-37</v>
      </c>
      <c r="E66" s="3" t="s">
        <v>51</v>
      </c>
      <c r="F66" s="3" t="s">
        <v>19</v>
      </c>
      <c r="G66" s="3" t="s">
        <v>317</v>
      </c>
      <c r="H66" s="15" t="s">
        <v>13</v>
      </c>
      <c r="I66" s="13" t="s">
        <v>13</v>
      </c>
      <c r="J66" s="13" t="s">
        <v>21</v>
      </c>
      <c r="K66" s="16" t="str">
        <f t="shared" si="1"/>
        <v>- 사용자 설정값 읽기 구현</v>
      </c>
    </row>
    <row r="67" spans="2:11" x14ac:dyDescent="0.45">
      <c r="B67" s="76"/>
      <c r="C67" s="88"/>
      <c r="D67" s="4" t="str">
        <f>IF(COUNTA(E67),_xlfn.CONCAT("SW-FW-UnitTest-CFX-ID-",COUNTA(E$30:E67)),"")</f>
        <v>SW-FW-UnitTest-CFX-ID-38</v>
      </c>
      <c r="E67" s="3" t="s">
        <v>52</v>
      </c>
      <c r="F67" s="3" t="s">
        <v>19</v>
      </c>
      <c r="G67" s="3" t="s">
        <v>318</v>
      </c>
      <c r="H67" s="15" t="s">
        <v>13</v>
      </c>
      <c r="I67" s="13" t="s">
        <v>13</v>
      </c>
      <c r="J67" s="13" t="s">
        <v>21</v>
      </c>
      <c r="K67" s="16" t="str">
        <f t="shared" si="1"/>
        <v>- 매핑 데이터 읽기 구현</v>
      </c>
    </row>
    <row r="68" spans="2:11" x14ac:dyDescent="0.45">
      <c r="B68" s="76"/>
      <c r="C68" s="88"/>
      <c r="D68" s="4" t="str">
        <f>IF(COUNTA(E68),_xlfn.CONCAT("SW-FW-UnitTest-CFX-ID-",COUNTA(E$30:E68)),"")</f>
        <v>SW-FW-UnitTest-CFX-ID-39</v>
      </c>
      <c r="E68" s="3" t="s">
        <v>53</v>
      </c>
      <c r="F68" s="3" t="s">
        <v>19</v>
      </c>
      <c r="G68" s="3" t="s">
        <v>319</v>
      </c>
      <c r="H68" s="15" t="s">
        <v>13</v>
      </c>
      <c r="I68" s="13" t="s">
        <v>13</v>
      </c>
      <c r="J68" s="13" t="s">
        <v>21</v>
      </c>
      <c r="K68" s="16" t="str">
        <f t="shared" si="1"/>
        <v>- 통과 대역 밴드 읽기 구현</v>
      </c>
    </row>
    <row r="69" spans="2:11" x14ac:dyDescent="0.45">
      <c r="B69" s="76"/>
      <c r="C69" s="88"/>
      <c r="D69" s="4" t="str">
        <f>IF(COUNTA(E69),_xlfn.CONCAT("SW-FW-UnitTest-CFX-ID-",COUNTA(E$30:E69)),"")</f>
        <v>SW-FW-UnitTest-CFX-ID-40</v>
      </c>
      <c r="E69" s="3" t="s">
        <v>54</v>
      </c>
      <c r="F69" s="3" t="s">
        <v>19</v>
      </c>
      <c r="G69" s="3" t="s">
        <v>320</v>
      </c>
      <c r="H69" s="15" t="s">
        <v>13</v>
      </c>
      <c r="I69" s="13" t="s">
        <v>13</v>
      </c>
      <c r="J69" s="13" t="s">
        <v>21</v>
      </c>
      <c r="K69" s="16" t="str">
        <f t="shared" si="1"/>
        <v>- 사용자 설정값 저장 구현</v>
      </c>
    </row>
    <row r="70" spans="2:11" x14ac:dyDescent="0.45">
      <c r="B70" s="76"/>
      <c r="C70" s="88"/>
      <c r="D70" s="4" t="str">
        <f>IF(COUNTA(E70),_xlfn.CONCAT("SW-FW-UnitTest-CFX-ID-",COUNTA(E$30:E70)),"")</f>
        <v>SW-FW-UnitTest-CFX-ID-41</v>
      </c>
      <c r="E70" s="3" t="s">
        <v>62</v>
      </c>
      <c r="F70" s="3" t="s">
        <v>19</v>
      </c>
      <c r="G70" s="3" t="s">
        <v>321</v>
      </c>
      <c r="H70" s="15" t="s">
        <v>13</v>
      </c>
      <c r="I70" s="13" t="s">
        <v>13</v>
      </c>
      <c r="J70" s="13" t="s">
        <v>21</v>
      </c>
      <c r="K70" s="16" t="str">
        <f t="shared" si="1"/>
        <v>- 매핑 데이터 저장, 매핑 통신 구현</v>
      </c>
    </row>
    <row r="71" spans="2:11" x14ac:dyDescent="0.45">
      <c r="B71" s="76"/>
      <c r="C71" s="88"/>
      <c r="D71" s="4" t="str">
        <f>IF(COUNTA(E71),_xlfn.CONCAT("SW-FW-UnitTest-CFX-ID-",COUNTA(E$30:E71)),"")</f>
        <v>SW-FW-UnitTest-CFX-ID-42</v>
      </c>
      <c r="E71" s="3" t="s">
        <v>56</v>
      </c>
      <c r="F71" s="3" t="s">
        <v>19</v>
      </c>
      <c r="G71" s="3" t="s">
        <v>322</v>
      </c>
      <c r="H71" s="15" t="s">
        <v>13</v>
      </c>
      <c r="I71" s="13" t="s">
        <v>13</v>
      </c>
      <c r="J71" s="13" t="s">
        <v>21</v>
      </c>
      <c r="K71" s="16" t="str">
        <f t="shared" si="1"/>
        <v>- 매핑 데이터 읽기, 매핑 통신 구현</v>
      </c>
    </row>
    <row r="72" spans="2:11" x14ac:dyDescent="0.45">
      <c r="B72" s="76"/>
      <c r="C72" s="88"/>
      <c r="D72" s="4" t="str">
        <f>IF(COUNTA(E72),_xlfn.CONCAT("SW-FW-UnitTest-CFX-ID-",COUNTA(E$30:E72)),"")</f>
        <v>SW-FW-UnitTest-CFX-ID-43</v>
      </c>
      <c r="E72" s="3" t="s">
        <v>55</v>
      </c>
      <c r="F72" s="3" t="s">
        <v>19</v>
      </c>
      <c r="G72" s="3" t="s">
        <v>323</v>
      </c>
      <c r="H72" s="15" t="s">
        <v>13</v>
      </c>
      <c r="I72" s="13" t="s">
        <v>13</v>
      </c>
      <c r="J72" s="13" t="s">
        <v>21</v>
      </c>
      <c r="K72" s="16" t="str">
        <f t="shared" si="1"/>
        <v>- 매핑 데이터 삭제, 매핑 통신 구현</v>
      </c>
    </row>
    <row r="73" spans="2:11" x14ac:dyDescent="0.45">
      <c r="B73" s="76"/>
      <c r="C73" s="88"/>
      <c r="D73" s="4" t="str">
        <f>IF(COUNTA(E73),_xlfn.CONCAT("SW-FW-UnitTest-CFX-ID-",COUNTA(E$30:E73)),"")</f>
        <v>SW-FW-UnitTest-CFX-ID-44</v>
      </c>
      <c r="E73" s="3" t="s">
        <v>57</v>
      </c>
      <c r="F73" s="3" t="s">
        <v>17</v>
      </c>
      <c r="G73" s="3" t="s">
        <v>324</v>
      </c>
      <c r="H73" s="15" t="s">
        <v>13</v>
      </c>
      <c r="I73" s="13" t="s">
        <v>13</v>
      </c>
      <c r="J73" s="13" t="s">
        <v>21</v>
      </c>
      <c r="K73" s="16" t="str">
        <f t="shared" si="1"/>
        <v>- 배터리 잔량 업데이트 구현</v>
      </c>
    </row>
    <row r="74" spans="2:11" x14ac:dyDescent="0.45">
      <c r="B74" s="76"/>
      <c r="C74" s="88"/>
      <c r="D74" s="4" t="str">
        <f>IF(COUNTA(E74),_xlfn.CONCAT("SW-FW-UnitTest-CFX-ID-",COUNTA(E$30:E74)),"")</f>
        <v>SW-FW-UnitTest-CFX-ID-45</v>
      </c>
      <c r="E74" s="3" t="s">
        <v>58</v>
      </c>
      <c r="F74" s="3" t="s">
        <v>19</v>
      </c>
      <c r="G74" s="3" t="s">
        <v>325</v>
      </c>
      <c r="H74" s="15" t="s">
        <v>13</v>
      </c>
      <c r="I74" s="13" t="s">
        <v>13</v>
      </c>
      <c r="J74" s="13" t="s">
        <v>21</v>
      </c>
      <c r="K74" s="16" t="str">
        <f t="shared" si="1"/>
        <v>- 가속도 센서 입력 업데이트 구현</v>
      </c>
    </row>
    <row r="75" spans="2:11" x14ac:dyDescent="0.45">
      <c r="B75" s="76"/>
      <c r="C75" s="88"/>
      <c r="D75" s="4" t="str">
        <f>IF(COUNTA(E75),_xlfn.CONCAT("SW-FW-UnitTest-CFX-ID-",COUNTA(E$30:E75)),"")</f>
        <v>SW-FW-UnitTest-CFX-ID-46</v>
      </c>
      <c r="E75" s="3" t="s">
        <v>59</v>
      </c>
      <c r="F75" s="3" t="s">
        <v>19</v>
      </c>
      <c r="G75" s="3" t="s">
        <v>326</v>
      </c>
      <c r="H75" s="15" t="s">
        <v>13</v>
      </c>
      <c r="I75" s="13" t="s">
        <v>13</v>
      </c>
      <c r="J75" s="13" t="s">
        <v>21</v>
      </c>
      <c r="K75" s="16" t="str">
        <f t="shared" si="1"/>
        <v>- USB 커넥터용 DIO 설정 구현</v>
      </c>
    </row>
    <row r="76" spans="2:11" x14ac:dyDescent="0.45">
      <c r="B76" s="76"/>
      <c r="C76" s="88"/>
      <c r="D76" s="4" t="str">
        <f>IF(COUNTA(E76),_xlfn.CONCAT("SW-FW-UnitTest-CFX-ID-",COUNTA(E$30:E76)),"")</f>
        <v>SW-FW-UnitTest-CFX-ID-47</v>
      </c>
      <c r="E76" s="3" t="s">
        <v>60</v>
      </c>
      <c r="F76" s="3" t="s">
        <v>19</v>
      </c>
      <c r="G76" s="3" t="s">
        <v>327</v>
      </c>
      <c r="H76" s="15" t="s">
        <v>13</v>
      </c>
      <c r="I76" s="13" t="s">
        <v>13</v>
      </c>
      <c r="J76" s="13" t="s">
        <v>21</v>
      </c>
      <c r="K76" s="16" t="str">
        <f t="shared" si="1"/>
        <v>- 가속도 센서 및 PCM용 DIO 설정 구현</v>
      </c>
    </row>
    <row r="77" spans="2:11" ht="51" x14ac:dyDescent="0.45">
      <c r="B77" s="76"/>
      <c r="C77" s="88" t="s">
        <v>98</v>
      </c>
      <c r="D77" s="4" t="str">
        <f>IF(COUNTA(E77),_xlfn.CONCAT("SW-FW-UnitTest-CFX-ID-",COUNTA(E$30:E77)),"")</f>
        <v>SW-FW-UnitTest-CFX-ID-48</v>
      </c>
      <c r="E77" s="3" t="s">
        <v>64</v>
      </c>
      <c r="F77" s="3" t="s">
        <v>18</v>
      </c>
      <c r="G77" s="3" t="s">
        <v>328</v>
      </c>
      <c r="H77" s="15" t="s">
        <v>13</v>
      </c>
      <c r="I77" s="8" t="s">
        <v>231</v>
      </c>
      <c r="J77" s="8" t="s">
        <v>70</v>
      </c>
      <c r="K77" s="8" t="s">
        <v>69</v>
      </c>
    </row>
    <row r="78" spans="2:11" ht="85" x14ac:dyDescent="0.45">
      <c r="B78" s="76"/>
      <c r="C78" s="89"/>
      <c r="D78" s="4" t="str">
        <f>IF(COUNTA(E78),_xlfn.CONCAT("SW-FW-UnitTest-CFX-ID-",COUNTA(E$30:E78)),"")</f>
        <v>SW-FW-UnitTest-CFX-ID-49</v>
      </c>
      <c r="E78" s="3" t="s">
        <v>65</v>
      </c>
      <c r="F78" s="3" t="s">
        <v>18</v>
      </c>
      <c r="G78" s="3" t="s">
        <v>329</v>
      </c>
      <c r="H78" s="15" t="s">
        <v>13</v>
      </c>
      <c r="I78" s="8" t="s">
        <v>92</v>
      </c>
      <c r="J78" s="12" t="s">
        <v>280</v>
      </c>
      <c r="K78" s="8" t="s">
        <v>66</v>
      </c>
    </row>
    <row r="79" spans="2:11" ht="170" x14ac:dyDescent="0.45">
      <c r="B79" s="76"/>
      <c r="C79" s="89"/>
      <c r="D79" s="4" t="str">
        <f>IF(COUNTA(E79),_xlfn.CONCAT("SW-FW-UnitTest-CFX-ID-",COUNTA(E$30:E79)),"")</f>
        <v>SW-FW-UnitTest-CFX-ID-50</v>
      </c>
      <c r="E79" s="3" t="s">
        <v>67</v>
      </c>
      <c r="F79" s="3" t="s">
        <v>18</v>
      </c>
      <c r="G79" s="3" t="s">
        <v>330</v>
      </c>
      <c r="H79" s="15" t="s">
        <v>13</v>
      </c>
      <c r="I79" s="8" t="s">
        <v>92</v>
      </c>
      <c r="J79" s="8" t="s">
        <v>222</v>
      </c>
      <c r="K79" s="8" t="s">
        <v>68</v>
      </c>
    </row>
    <row r="80" spans="2:11" ht="51" x14ac:dyDescent="0.45">
      <c r="B80" s="76"/>
      <c r="C80" s="89"/>
      <c r="D80" s="4" t="str">
        <f>IF(COUNTA(E80),_xlfn.CONCAT("SW-FW-UnitTest-CFX-ID-",COUNTA(E$30:E80)),"")</f>
        <v>SW-FW-UnitTest-CFX-ID-51</v>
      </c>
      <c r="E80" s="3" t="s">
        <v>71</v>
      </c>
      <c r="F80" s="3" t="s">
        <v>18</v>
      </c>
      <c r="G80" s="3" t="s">
        <v>331</v>
      </c>
      <c r="H80" s="15" t="s">
        <v>13</v>
      </c>
      <c r="I80" s="8" t="s">
        <v>91</v>
      </c>
      <c r="J80" s="8" t="s">
        <v>170</v>
      </c>
      <c r="K80" s="8" t="s">
        <v>72</v>
      </c>
    </row>
    <row r="81" spans="2:11" ht="51" x14ac:dyDescent="0.45">
      <c r="B81" s="76"/>
      <c r="C81" s="89"/>
      <c r="D81" s="4" t="str">
        <f>IF(COUNTA(E81),_xlfn.CONCAT("SW-FW-UnitTest-CFX-ID-",COUNTA(E$30:E81)),"")</f>
        <v>SW-FW-UnitTest-CFX-ID-52</v>
      </c>
      <c r="E81" s="3" t="s">
        <v>73</v>
      </c>
      <c r="F81" s="3" t="s">
        <v>18</v>
      </c>
      <c r="G81" s="3" t="s">
        <v>332</v>
      </c>
      <c r="H81" s="15" t="s">
        <v>13</v>
      </c>
      <c r="I81" s="8" t="s">
        <v>91</v>
      </c>
      <c r="J81" s="8" t="s">
        <v>171</v>
      </c>
      <c r="K81" s="8" t="s">
        <v>78</v>
      </c>
    </row>
    <row r="82" spans="2:11" ht="51" x14ac:dyDescent="0.45">
      <c r="B82" s="76"/>
      <c r="C82" s="89"/>
      <c r="D82" s="4" t="str">
        <f>IF(COUNTA(E82),_xlfn.CONCAT("SW-FW-UnitTest-CFX-ID-",COUNTA(E$30:E82)),"")</f>
        <v>SW-FW-UnitTest-CFX-ID-53</v>
      </c>
      <c r="E82" s="3" t="s">
        <v>74</v>
      </c>
      <c r="F82" s="3" t="s">
        <v>18</v>
      </c>
      <c r="G82" s="3" t="s">
        <v>333</v>
      </c>
      <c r="H82" s="15" t="s">
        <v>13</v>
      </c>
      <c r="I82" s="8" t="s">
        <v>91</v>
      </c>
      <c r="J82" s="8" t="s">
        <v>171</v>
      </c>
      <c r="K82" s="8" t="s">
        <v>75</v>
      </c>
    </row>
    <row r="83" spans="2:11" ht="51" x14ac:dyDescent="0.45">
      <c r="B83" s="76"/>
      <c r="C83" s="89"/>
      <c r="D83" s="4" t="str">
        <f>IF(COUNTA(E83),_xlfn.CONCAT("SW-FW-UnitTest-CFX-ID-",COUNTA(E$30:E83)),"")</f>
        <v>SW-FW-UnitTest-CFX-ID-54</v>
      </c>
      <c r="E83" s="3" t="s">
        <v>76</v>
      </c>
      <c r="F83" s="3" t="s">
        <v>18</v>
      </c>
      <c r="G83" s="3" t="s">
        <v>334</v>
      </c>
      <c r="H83" s="15" t="s">
        <v>13</v>
      </c>
      <c r="I83" s="8" t="s">
        <v>91</v>
      </c>
      <c r="J83" s="8" t="s">
        <v>171</v>
      </c>
      <c r="K83" s="8" t="s">
        <v>77</v>
      </c>
    </row>
    <row r="84" spans="2:11" ht="51" x14ac:dyDescent="0.45">
      <c r="B84" s="76"/>
      <c r="C84" s="89"/>
      <c r="D84" s="4" t="str">
        <f>IF(COUNTA(E84),_xlfn.CONCAT("SW-FW-UnitTest-CFX-ID-",COUNTA(E$30:E84)),"")</f>
        <v>SW-FW-UnitTest-CFX-ID-55</v>
      </c>
      <c r="E84" s="3" t="s">
        <v>87</v>
      </c>
      <c r="F84" s="3" t="s">
        <v>18</v>
      </c>
      <c r="G84" s="3" t="s">
        <v>335</v>
      </c>
      <c r="H84" s="15" t="s">
        <v>13</v>
      </c>
      <c r="I84" s="8" t="s">
        <v>91</v>
      </c>
      <c r="J84" s="8" t="s">
        <v>171</v>
      </c>
      <c r="K84" s="8" t="s">
        <v>77</v>
      </c>
    </row>
    <row r="85" spans="2:11" ht="51" x14ac:dyDescent="0.45">
      <c r="B85" s="76"/>
      <c r="C85" s="89"/>
      <c r="D85" s="4" t="str">
        <f>IF(COUNTA(E85),_xlfn.CONCAT("SW-FW-UnitTest-CFX-ID-",COUNTA(E$30:E85)),"")</f>
        <v>SW-FW-UnitTest-CFX-ID-56</v>
      </c>
      <c r="E85" s="3" t="s">
        <v>79</v>
      </c>
      <c r="F85" s="3" t="s">
        <v>18</v>
      </c>
      <c r="G85" s="3" t="s">
        <v>336</v>
      </c>
      <c r="H85" s="15" t="s">
        <v>13</v>
      </c>
      <c r="I85" s="8" t="s">
        <v>91</v>
      </c>
      <c r="J85" s="8" t="s">
        <v>171</v>
      </c>
      <c r="K85" s="8" t="s">
        <v>80</v>
      </c>
    </row>
    <row r="86" spans="2:11" ht="51" x14ac:dyDescent="0.45">
      <c r="B86" s="76"/>
      <c r="C86" s="89"/>
      <c r="D86" s="4" t="str">
        <f>IF(COUNTA(E86),_xlfn.CONCAT("SW-FW-UnitTest-CFX-ID-",COUNTA(E$30:E86)),"")</f>
        <v>SW-FW-UnitTest-CFX-ID-57</v>
      </c>
      <c r="E86" s="3" t="s">
        <v>83</v>
      </c>
      <c r="F86" s="3" t="s">
        <v>18</v>
      </c>
      <c r="G86" s="3" t="s">
        <v>337</v>
      </c>
      <c r="H86" s="15" t="s">
        <v>13</v>
      </c>
      <c r="I86" s="8" t="s">
        <v>91</v>
      </c>
      <c r="J86" s="8" t="s">
        <v>171</v>
      </c>
      <c r="K86" s="8" t="s">
        <v>85</v>
      </c>
    </row>
    <row r="87" spans="2:11" ht="51" x14ac:dyDescent="0.45">
      <c r="B87" s="76"/>
      <c r="C87" s="89"/>
      <c r="D87" s="4" t="str">
        <f>IF(COUNTA(E87),_xlfn.CONCAT("SW-FW-UnitTest-CFX-ID-",COUNTA(E$30:E87)),"")</f>
        <v>SW-FW-UnitTest-CFX-ID-58</v>
      </c>
      <c r="E87" s="3" t="s">
        <v>84</v>
      </c>
      <c r="F87" s="3" t="s">
        <v>18</v>
      </c>
      <c r="G87" s="3" t="s">
        <v>338</v>
      </c>
      <c r="H87" s="15" t="s">
        <v>13</v>
      </c>
      <c r="I87" s="8" t="s">
        <v>91</v>
      </c>
      <c r="J87" s="8" t="s">
        <v>171</v>
      </c>
      <c r="K87" s="8" t="s">
        <v>86</v>
      </c>
    </row>
    <row r="88" spans="2:11" ht="68" x14ac:dyDescent="0.45">
      <c r="B88" s="76"/>
      <c r="C88" s="89"/>
      <c r="D88" s="4" t="str">
        <f>IF(COUNTA(E88),_xlfn.CONCAT("SW-FW-UnitTest-CFX-ID-",COUNTA(E$30:E88)),"")</f>
        <v>SW-FW-UnitTest-CFX-ID-59</v>
      </c>
      <c r="E88" s="3" t="s">
        <v>81</v>
      </c>
      <c r="F88" s="3" t="s">
        <v>18</v>
      </c>
      <c r="G88" s="3" t="s">
        <v>339</v>
      </c>
      <c r="H88" s="15" t="s">
        <v>13</v>
      </c>
      <c r="I88" s="8" t="s">
        <v>93</v>
      </c>
      <c r="J88" s="8" t="s">
        <v>171</v>
      </c>
      <c r="K88" s="8" t="s">
        <v>82</v>
      </c>
    </row>
    <row r="89" spans="2:11" ht="68" x14ac:dyDescent="0.45">
      <c r="B89" s="76"/>
      <c r="C89" s="88" t="s">
        <v>97</v>
      </c>
      <c r="D89" s="4" t="str">
        <f>IF(COUNTA(E89),_xlfn.CONCAT("SW-FW-UnitTest-CFX-ID-",COUNTA(E$30:E89)),"")</f>
        <v>SW-FW-UnitTest-CFX-ID-60</v>
      </c>
      <c r="E89" s="3" t="s">
        <v>88</v>
      </c>
      <c r="F89" s="3" t="s">
        <v>18</v>
      </c>
      <c r="G89" s="3" t="s">
        <v>340</v>
      </c>
      <c r="H89" s="15" t="s">
        <v>13</v>
      </c>
      <c r="I89" s="8" t="s">
        <v>94</v>
      </c>
      <c r="J89" s="12" t="s">
        <v>172</v>
      </c>
      <c r="K89" s="8" t="s">
        <v>90</v>
      </c>
    </row>
    <row r="90" spans="2:11" ht="68" x14ac:dyDescent="0.45">
      <c r="B90" s="76"/>
      <c r="C90" s="88"/>
      <c r="D90" s="4" t="str">
        <f>IF(COUNTA(E90),_xlfn.CONCAT("SW-FW-UnitTest-CFX-ID-",COUNTA(E$30:E90)),"")</f>
        <v>SW-FW-UnitTest-CFX-ID-61</v>
      </c>
      <c r="E90" s="3" t="s">
        <v>89</v>
      </c>
      <c r="F90" s="3" t="s">
        <v>18</v>
      </c>
      <c r="G90" s="3" t="s">
        <v>341</v>
      </c>
      <c r="H90" s="15" t="s">
        <v>13</v>
      </c>
      <c r="I90" s="12" t="s">
        <v>95</v>
      </c>
      <c r="J90" s="12" t="s">
        <v>281</v>
      </c>
      <c r="K90" s="8" t="s">
        <v>96</v>
      </c>
    </row>
    <row r="91" spans="2:11" x14ac:dyDescent="0.45">
      <c r="B91" s="76" t="s">
        <v>174</v>
      </c>
      <c r="C91" s="88" t="s">
        <v>99</v>
      </c>
      <c r="D91" s="4" t="str">
        <f>IF(COUNTA(E91),_xlfn.CONCAT("SW-FW-UnitTest-CM3-ID-",COUNTA(E$91:E91)),"")</f>
        <v>SW-FW-UnitTest-CM3-ID-1</v>
      </c>
      <c r="E91" s="3" t="s">
        <v>101</v>
      </c>
      <c r="F91" s="3" t="s">
        <v>19</v>
      </c>
      <c r="G91" s="3" t="s">
        <v>342</v>
      </c>
      <c r="H91" s="15" t="s">
        <v>13</v>
      </c>
      <c r="I91" s="13" t="s">
        <v>13</v>
      </c>
      <c r="J91" s="13" t="s">
        <v>21</v>
      </c>
      <c r="K91" s="8" t="s">
        <v>102</v>
      </c>
    </row>
    <row r="92" spans="2:11" x14ac:dyDescent="0.45">
      <c r="B92" s="76"/>
      <c r="C92" s="88"/>
      <c r="D92" s="4" t="str">
        <f>IF(COUNTA(E92),_xlfn.CONCAT("SW-FW-UnitTest-CM3-ID-",COUNTA(E$91:E92)),"")</f>
        <v>SW-FW-UnitTest-CM3-ID-2</v>
      </c>
      <c r="E92" s="3" t="s">
        <v>103</v>
      </c>
      <c r="F92" s="3" t="s">
        <v>19</v>
      </c>
      <c r="G92" s="3" t="s">
        <v>343</v>
      </c>
      <c r="H92" s="15" t="s">
        <v>13</v>
      </c>
      <c r="I92" s="13" t="s">
        <v>13</v>
      </c>
      <c r="J92" s="13" t="s">
        <v>21</v>
      </c>
      <c r="K92" s="16" t="str">
        <f>_xlfn.CONCAT("- ", E92, " 구현")</f>
        <v>- 메모리 에러 LED  출력 구현</v>
      </c>
    </row>
    <row r="93" spans="2:11" x14ac:dyDescent="0.45">
      <c r="B93" s="76"/>
      <c r="C93" s="88"/>
      <c r="D93" s="4" t="str">
        <f>IF(COUNTA(E93),_xlfn.CONCAT("SW-FW-UnitTest-CM3-ID-",COUNTA(E$91:E93)),"")</f>
        <v>SW-FW-UnitTest-CM3-ID-3</v>
      </c>
      <c r="E93" s="3" t="s">
        <v>104</v>
      </c>
      <c r="F93" s="3" t="s">
        <v>19</v>
      </c>
      <c r="G93" s="3" t="s">
        <v>344</v>
      </c>
      <c r="H93" s="15" t="s">
        <v>13</v>
      </c>
      <c r="I93" s="13" t="s">
        <v>13</v>
      </c>
      <c r="J93" s="13" t="s">
        <v>21</v>
      </c>
      <c r="K93" s="16" t="str">
        <f>_xlfn.CONCAT("- ", E93, " 구현")</f>
        <v>- NRF 리셋 구현</v>
      </c>
    </row>
    <row r="94" spans="2:11" x14ac:dyDescent="0.45">
      <c r="B94" s="76"/>
      <c r="C94" s="88"/>
      <c r="D94" s="4" t="str">
        <f>IF(COUNTA(E94),_xlfn.CONCAT("SW-FW-UnitTest-CM3-ID-",COUNTA(E$91:E94)),"")</f>
        <v>SW-FW-UnitTest-CM3-ID-4</v>
      </c>
      <c r="E94" s="3" t="s">
        <v>198</v>
      </c>
      <c r="F94" s="3" t="s">
        <v>19</v>
      </c>
      <c r="G94" s="3" t="s">
        <v>345</v>
      </c>
      <c r="H94" s="15" t="s">
        <v>13</v>
      </c>
      <c r="I94" s="13" t="s">
        <v>13</v>
      </c>
      <c r="J94" s="13" t="s">
        <v>21</v>
      </c>
      <c r="K94" s="16" t="str">
        <f t="shared" ref="K94:K157" si="2">_xlfn.CONCAT("- ", E94, " 구현")</f>
        <v>- NRF Off 명령  구현</v>
      </c>
    </row>
    <row r="95" spans="2:11" x14ac:dyDescent="0.45">
      <c r="B95" s="76"/>
      <c r="C95" s="88"/>
      <c r="D95" s="4" t="str">
        <f>IF(COUNTA(E95),_xlfn.CONCAT("SW-FW-UnitTest-CM3-ID-",COUNTA(E$91:E95)),"")</f>
        <v>SW-FW-UnitTest-CM3-ID-5</v>
      </c>
      <c r="E95" s="3" t="s">
        <v>105</v>
      </c>
      <c r="F95" s="3" t="s">
        <v>19</v>
      </c>
      <c r="G95" s="3" t="s">
        <v>346</v>
      </c>
      <c r="H95" s="15" t="s">
        <v>13</v>
      </c>
      <c r="I95" s="13" t="s">
        <v>13</v>
      </c>
      <c r="J95" s="13" t="s">
        <v>21</v>
      </c>
      <c r="K95" s="16" t="str">
        <f t="shared" si="2"/>
        <v>- 인터럽트 리셋 구현</v>
      </c>
    </row>
    <row r="96" spans="2:11" x14ac:dyDescent="0.45">
      <c r="B96" s="76"/>
      <c r="C96" s="88"/>
      <c r="D96" s="4" t="str">
        <f>IF(COUNTA(E96),_xlfn.CONCAT("SW-FW-UnitTest-CM3-ID-",COUNTA(E$91:E96)),"")</f>
        <v>SW-FW-UnitTest-CM3-ID-6</v>
      </c>
      <c r="E96" s="3" t="s">
        <v>106</v>
      </c>
      <c r="F96" s="3" t="s">
        <v>19</v>
      </c>
      <c r="G96" s="3" t="s">
        <v>347</v>
      </c>
      <c r="H96" s="15" t="s">
        <v>13</v>
      </c>
      <c r="I96" s="13" t="s">
        <v>13</v>
      </c>
      <c r="J96" s="13" t="s">
        <v>21</v>
      </c>
      <c r="K96" s="16" t="str">
        <f t="shared" si="2"/>
        <v>- DMA 리셋 구현</v>
      </c>
    </row>
    <row r="97" spans="2:11" x14ac:dyDescent="0.45">
      <c r="B97" s="76"/>
      <c r="C97" s="88"/>
      <c r="D97" s="4" t="str">
        <f>IF(COUNTA(E97),_xlfn.CONCAT("SW-FW-UnitTest-CM3-ID-",COUNTA(E$91:E97)),"")</f>
        <v>SW-FW-UnitTest-CM3-ID-7</v>
      </c>
      <c r="E97" s="3" t="s">
        <v>107</v>
      </c>
      <c r="F97" s="3" t="s">
        <v>19</v>
      </c>
      <c r="G97" s="3" t="s">
        <v>348</v>
      </c>
      <c r="H97" s="15" t="s">
        <v>13</v>
      </c>
      <c r="I97" s="13" t="s">
        <v>13</v>
      </c>
      <c r="J97" s="13" t="s">
        <v>21</v>
      </c>
      <c r="K97" s="16" t="str">
        <f t="shared" si="2"/>
        <v>- I2C 설정 구현</v>
      </c>
    </row>
    <row r="98" spans="2:11" x14ac:dyDescent="0.45">
      <c r="B98" s="76"/>
      <c r="C98" s="88"/>
      <c r="D98" s="4" t="str">
        <f>IF(COUNTA(E98),_xlfn.CONCAT("SW-FW-UnitTest-CM3-ID-",COUNTA(E$91:E98)),"")</f>
        <v>SW-FW-UnitTest-CM3-ID-8</v>
      </c>
      <c r="E98" s="3" t="s">
        <v>108</v>
      </c>
      <c r="F98" s="3" t="s">
        <v>19</v>
      </c>
      <c r="G98" s="3" t="s">
        <v>349</v>
      </c>
      <c r="H98" s="15" t="s">
        <v>13</v>
      </c>
      <c r="I98" s="13" t="s">
        <v>13</v>
      </c>
      <c r="J98" s="13" t="s">
        <v>21</v>
      </c>
      <c r="K98" s="16" t="str">
        <f t="shared" si="2"/>
        <v>- SPI 설정 구현</v>
      </c>
    </row>
    <row r="99" spans="2:11" x14ac:dyDescent="0.45">
      <c r="B99" s="76"/>
      <c r="C99" s="88"/>
      <c r="D99" s="4" t="str">
        <f>IF(COUNTA(E99),_xlfn.CONCAT("SW-FW-UnitTest-CM3-ID-",COUNTA(E$91:E99)),"")</f>
        <v>SW-FW-UnitTest-CM3-ID-9</v>
      </c>
      <c r="E99" s="3" t="s">
        <v>109</v>
      </c>
      <c r="F99" s="3" t="s">
        <v>19</v>
      </c>
      <c r="G99" s="3" t="s">
        <v>350</v>
      </c>
      <c r="H99" s="15" t="s">
        <v>13</v>
      </c>
      <c r="I99" s="13" t="s">
        <v>13</v>
      </c>
      <c r="J99" s="13" t="s">
        <v>21</v>
      </c>
      <c r="K99" s="16" t="str">
        <f t="shared" si="2"/>
        <v>- 주기 반복용 인터럽트 설정 구현</v>
      </c>
    </row>
    <row r="100" spans="2:11" x14ac:dyDescent="0.45">
      <c r="B100" s="76"/>
      <c r="C100" s="88"/>
      <c r="D100" s="4" t="str">
        <f>IF(COUNTA(E100),_xlfn.CONCAT("SW-FW-UnitTest-CM3-ID-",COUNTA(E$91:E100)),"")</f>
        <v>SW-FW-UnitTest-CM3-ID-10</v>
      </c>
      <c r="E100" s="3" t="s">
        <v>110</v>
      </c>
      <c r="F100" s="3" t="s">
        <v>19</v>
      </c>
      <c r="G100" s="3" t="s">
        <v>351</v>
      </c>
      <c r="H100" s="15" t="s">
        <v>13</v>
      </c>
      <c r="I100" s="13" t="s">
        <v>13</v>
      </c>
      <c r="J100" s="13" t="s">
        <v>21</v>
      </c>
      <c r="K100" s="16" t="str">
        <f t="shared" si="2"/>
        <v>- 인터럽트 활성화 구현</v>
      </c>
    </row>
    <row r="101" spans="2:11" x14ac:dyDescent="0.45">
      <c r="B101" s="76"/>
      <c r="C101" s="88"/>
      <c r="D101" s="4" t="str">
        <f>IF(COUNTA(E101),_xlfn.CONCAT("SW-FW-UnitTest-CM3-ID-",COUNTA(E$91:E101)),"")</f>
        <v>SW-FW-UnitTest-CM3-ID-11</v>
      </c>
      <c r="E101" s="3" t="s">
        <v>232</v>
      </c>
      <c r="F101" s="3" t="s">
        <v>19</v>
      </c>
      <c r="G101" s="3" t="s">
        <v>352</v>
      </c>
      <c r="H101" s="15" t="s">
        <v>13</v>
      </c>
      <c r="I101" s="13" t="s">
        <v>13</v>
      </c>
      <c r="J101" s="13" t="s">
        <v>21</v>
      </c>
      <c r="K101" s="16" t="str">
        <f t="shared" si="2"/>
        <v>- 사용 준비 상태 전송 구현</v>
      </c>
    </row>
    <row r="102" spans="2:11" x14ac:dyDescent="0.45">
      <c r="B102" s="76"/>
      <c r="C102" s="88"/>
      <c r="D102" s="4" t="str">
        <f>IF(COUNTA(E102),_xlfn.CONCAT("SW-FW-UnitTest-CM3-ID-",COUNTA(E$91:E102)),"")</f>
        <v>SW-FW-UnitTest-CM3-ID-12</v>
      </c>
      <c r="E102" s="3" t="s">
        <v>111</v>
      </c>
      <c r="F102" s="3" t="s">
        <v>19</v>
      </c>
      <c r="G102" s="3" t="s">
        <v>353</v>
      </c>
      <c r="H102" s="15" t="s">
        <v>13</v>
      </c>
      <c r="I102" s="13" t="s">
        <v>13</v>
      </c>
      <c r="J102" s="13" t="s">
        <v>21</v>
      </c>
      <c r="K102" s="16" t="str">
        <f t="shared" si="2"/>
        <v>- PMIC 전원 끔 구현</v>
      </c>
    </row>
    <row r="103" spans="2:11" x14ac:dyDescent="0.45">
      <c r="B103" s="76"/>
      <c r="C103" s="88"/>
      <c r="D103" s="4" t="str">
        <f>IF(COUNTA(E103),_xlfn.CONCAT("SW-FW-UnitTest-CM3-ID-",COUNTA(E$91:E103)),"")</f>
        <v>SW-FW-UnitTest-CM3-ID-13</v>
      </c>
      <c r="E103" s="3" t="s">
        <v>112</v>
      </c>
      <c r="F103" s="3" t="s">
        <v>19</v>
      </c>
      <c r="G103" s="3" t="s">
        <v>354</v>
      </c>
      <c r="H103" s="15" t="s">
        <v>13</v>
      </c>
      <c r="I103" s="13" t="s">
        <v>13</v>
      </c>
      <c r="J103" s="13" t="s">
        <v>21</v>
      </c>
      <c r="K103" s="16" t="str">
        <f t="shared" si="2"/>
        <v>- 가속도 센서 초기화 구현</v>
      </c>
    </row>
    <row r="104" spans="2:11" x14ac:dyDescent="0.45">
      <c r="B104" s="76"/>
      <c r="C104" s="88"/>
      <c r="D104" s="4" t="str">
        <f>IF(COUNTA(E104),_xlfn.CONCAT("SW-FW-UnitTest-CM3-ID-",COUNTA(E$91:E104)),"")</f>
        <v>SW-FW-UnitTest-CM3-ID-14</v>
      </c>
      <c r="E104" s="3" t="s">
        <v>113</v>
      </c>
      <c r="F104" s="3" t="s">
        <v>19</v>
      </c>
      <c r="G104" s="3" t="s">
        <v>355</v>
      </c>
      <c r="H104" s="15" t="s">
        <v>13</v>
      </c>
      <c r="I104" s="13" t="s">
        <v>13</v>
      </c>
      <c r="J104" s="13" t="s">
        <v>21</v>
      </c>
      <c r="K104" s="16" t="str">
        <f t="shared" si="2"/>
        <v>- CFX 초기화 에러 LED 출력 구현</v>
      </c>
    </row>
    <row r="105" spans="2:11" x14ac:dyDescent="0.45">
      <c r="B105" s="76"/>
      <c r="C105" s="88"/>
      <c r="D105" s="4" t="str">
        <f>IF(COUNTA(E105),_xlfn.CONCAT("SW-FW-UnitTest-CM3-ID-",COUNTA(E$91:E105)),"")</f>
        <v>SW-FW-UnitTest-CM3-ID-15</v>
      </c>
      <c r="E105" s="3" t="s">
        <v>114</v>
      </c>
      <c r="F105" s="3" t="s">
        <v>19</v>
      </c>
      <c r="G105" s="3" t="s">
        <v>356</v>
      </c>
      <c r="H105" s="15" t="s">
        <v>13</v>
      </c>
      <c r="I105" s="13" t="s">
        <v>13</v>
      </c>
      <c r="J105" s="13" t="s">
        <v>21</v>
      </c>
      <c r="K105" s="16" t="str">
        <f t="shared" si="2"/>
        <v>- 배터리 모니터링 경계 값 구현</v>
      </c>
    </row>
    <row r="106" spans="2:11" x14ac:dyDescent="0.45">
      <c r="B106" s="76"/>
      <c r="C106" s="88"/>
      <c r="D106" s="4" t="str">
        <f>IF(COUNTA(E106),_xlfn.CONCAT("SW-FW-UnitTest-CM3-ID-",COUNTA(E$91:E106)),"")</f>
        <v>SW-FW-UnitTest-CM3-ID-16</v>
      </c>
      <c r="E106" s="3" t="s">
        <v>115</v>
      </c>
      <c r="F106" s="3" t="s">
        <v>19</v>
      </c>
      <c r="G106" s="3" t="s">
        <v>357</v>
      </c>
      <c r="H106" s="15" t="s">
        <v>13</v>
      </c>
      <c r="I106" s="13" t="s">
        <v>13</v>
      </c>
      <c r="J106" s="13" t="s">
        <v>21</v>
      </c>
      <c r="K106" s="16" t="str">
        <f t="shared" si="2"/>
        <v>- 에러 플래그 제거 구현</v>
      </c>
    </row>
    <row r="107" spans="2:11" x14ac:dyDescent="0.45">
      <c r="B107" s="76"/>
      <c r="C107" s="88"/>
      <c r="D107" s="4" t="str">
        <f>IF(COUNTA(E107),_xlfn.CONCAT("SW-FW-UnitTest-CM3-ID-",COUNTA(E$91:E107)),"")</f>
        <v>SW-FW-UnitTest-CM3-ID-17</v>
      </c>
      <c r="E107" s="3" t="s">
        <v>116</v>
      </c>
      <c r="F107" s="3" t="s">
        <v>19</v>
      </c>
      <c r="G107" s="3" t="s">
        <v>358</v>
      </c>
      <c r="H107" s="15" t="s">
        <v>13</v>
      </c>
      <c r="I107" s="13" t="s">
        <v>13</v>
      </c>
      <c r="J107" s="13" t="s">
        <v>21</v>
      </c>
      <c r="K107" s="16" t="str">
        <f t="shared" si="2"/>
        <v>- 인터럽트 서비스 루틴, I2C 구현</v>
      </c>
    </row>
    <row r="108" spans="2:11" x14ac:dyDescent="0.45">
      <c r="B108" s="76"/>
      <c r="C108" s="88"/>
      <c r="D108" s="4" t="str">
        <f>IF(COUNTA(E108),_xlfn.CONCAT("SW-FW-UnitTest-CM3-ID-",COUNTA(E$91:E108)),"")</f>
        <v>SW-FW-UnitTest-CM3-ID-18</v>
      </c>
      <c r="E108" s="3" t="s">
        <v>117</v>
      </c>
      <c r="F108" s="3" t="s">
        <v>19</v>
      </c>
      <c r="G108" s="3" t="s">
        <v>359</v>
      </c>
      <c r="H108" s="15" t="s">
        <v>13</v>
      </c>
      <c r="I108" s="13" t="s">
        <v>13</v>
      </c>
      <c r="J108" s="13" t="s">
        <v>21</v>
      </c>
      <c r="K108" s="16" t="str">
        <f t="shared" si="2"/>
        <v>- 인터럽트 서비스 루틴, SPI 에러 구현</v>
      </c>
    </row>
    <row r="109" spans="2:11" x14ac:dyDescent="0.45">
      <c r="B109" s="76"/>
      <c r="C109" s="88"/>
      <c r="D109" s="4" t="str">
        <f>IF(COUNTA(E109),_xlfn.CONCAT("SW-FW-UnitTest-CM3-ID-",COUNTA(E$91:E109)),"")</f>
        <v>SW-FW-UnitTest-CM3-ID-19</v>
      </c>
      <c r="E109" s="3" t="s">
        <v>118</v>
      </c>
      <c r="F109" s="3" t="s">
        <v>19</v>
      </c>
      <c r="G109" s="3" t="s">
        <v>360</v>
      </c>
      <c r="H109" s="15" t="s">
        <v>13</v>
      </c>
      <c r="I109" s="13" t="s">
        <v>13</v>
      </c>
      <c r="J109" s="13" t="s">
        <v>21</v>
      </c>
      <c r="K109" s="16" t="str">
        <f t="shared" si="2"/>
        <v>- 인터럽트 서비스 루틴, DMA 0 구현</v>
      </c>
    </row>
    <row r="110" spans="2:11" x14ac:dyDescent="0.45">
      <c r="B110" s="76"/>
      <c r="C110" s="88"/>
      <c r="D110" s="4" t="str">
        <f>IF(COUNTA(E110),_xlfn.CONCAT("SW-FW-UnitTest-CM3-ID-",COUNTA(E$91:E110)),"")</f>
        <v>SW-FW-UnitTest-CM3-ID-20</v>
      </c>
      <c r="E110" s="3" t="s">
        <v>119</v>
      </c>
      <c r="F110" s="3" t="s">
        <v>19</v>
      </c>
      <c r="G110" s="3" t="s">
        <v>361</v>
      </c>
      <c r="H110" s="15" t="s">
        <v>13</v>
      </c>
      <c r="I110" s="13" t="s">
        <v>13</v>
      </c>
      <c r="J110" s="13" t="s">
        <v>21</v>
      </c>
      <c r="K110" s="16" t="str">
        <f t="shared" si="2"/>
        <v>- 인터럽트 서비스 루틴, DMA 1 구현</v>
      </c>
    </row>
    <row r="111" spans="2:11" x14ac:dyDescent="0.45">
      <c r="B111" s="76"/>
      <c r="C111" s="88"/>
      <c r="D111" s="4" t="str">
        <f>IF(COUNTA(E111),_xlfn.CONCAT("SW-FW-UnitTest-CM3-ID-",COUNTA(E$91:E111)),"")</f>
        <v>SW-FW-UnitTest-CM3-ID-21</v>
      </c>
      <c r="E111" s="3" t="s">
        <v>120</v>
      </c>
      <c r="F111" s="3" t="s">
        <v>19</v>
      </c>
      <c r="G111" s="3" t="s">
        <v>362</v>
      </c>
      <c r="H111" s="15" t="s">
        <v>13</v>
      </c>
      <c r="I111" s="13" t="s">
        <v>13</v>
      </c>
      <c r="J111" s="13" t="s">
        <v>21</v>
      </c>
      <c r="K111" s="16" t="str">
        <f t="shared" si="2"/>
        <v>- 에러 확인  구현</v>
      </c>
    </row>
    <row r="112" spans="2:11" x14ac:dyDescent="0.45">
      <c r="B112" s="76"/>
      <c r="C112" s="88"/>
      <c r="D112" s="4" t="str">
        <f>IF(COUNTA(E112),_xlfn.CONCAT("SW-FW-UnitTest-CM3-ID-",COUNTA(E$91:E112)),"")</f>
        <v>SW-FW-UnitTest-CM3-ID-22</v>
      </c>
      <c r="E112" s="3" t="s">
        <v>121</v>
      </c>
      <c r="F112" s="3" t="s">
        <v>19</v>
      </c>
      <c r="G112" s="3" t="s">
        <v>363</v>
      </c>
      <c r="H112" s="15" t="s">
        <v>13</v>
      </c>
      <c r="I112" s="13" t="s">
        <v>13</v>
      </c>
      <c r="J112" s="13" t="s">
        <v>21</v>
      </c>
      <c r="K112" s="16" t="str">
        <f t="shared" si="2"/>
        <v>- LED 출력 상태 확인 구현</v>
      </c>
    </row>
    <row r="113" spans="2:11" x14ac:dyDescent="0.45">
      <c r="B113" s="76"/>
      <c r="C113" s="88"/>
      <c r="D113" s="4" t="str">
        <f>IF(COUNTA(E113),_xlfn.CONCAT("SW-FW-UnitTest-CM3-ID-",COUNTA(E$91:E113)),"")</f>
        <v>SW-FW-UnitTest-CM3-ID-23</v>
      </c>
      <c r="E113" s="3" t="s">
        <v>57</v>
      </c>
      <c r="F113" s="3" t="s">
        <v>19</v>
      </c>
      <c r="G113" s="3" t="s">
        <v>364</v>
      </c>
      <c r="H113" s="15" t="s">
        <v>13</v>
      </c>
      <c r="I113" s="13" t="s">
        <v>13</v>
      </c>
      <c r="J113" s="13" t="s">
        <v>21</v>
      </c>
      <c r="K113" s="16" t="str">
        <f t="shared" si="2"/>
        <v>- 배터리 잔량 업데이트 구현</v>
      </c>
    </row>
    <row r="114" spans="2:11" x14ac:dyDescent="0.45">
      <c r="B114" s="76"/>
      <c r="C114" s="88"/>
      <c r="D114" s="4" t="str">
        <f>IF(COUNTA(E114),_xlfn.CONCAT("SW-FW-UnitTest-CM3-ID-",COUNTA(E$91:E114)),"")</f>
        <v>SW-FW-UnitTest-CM3-ID-24</v>
      </c>
      <c r="E114" s="3" t="s">
        <v>122</v>
      </c>
      <c r="F114" s="3" t="s">
        <v>19</v>
      </c>
      <c r="G114" s="3" t="s">
        <v>365</v>
      </c>
      <c r="H114" s="15" t="s">
        <v>13</v>
      </c>
      <c r="I114" s="13" t="s">
        <v>13</v>
      </c>
      <c r="J114" s="13" t="s">
        <v>21</v>
      </c>
      <c r="K114" s="16" t="str">
        <f t="shared" si="2"/>
        <v>- 사용자 인터페이스 제어 구현</v>
      </c>
    </row>
    <row r="115" spans="2:11" x14ac:dyDescent="0.45">
      <c r="B115" s="76"/>
      <c r="C115" s="88"/>
      <c r="D115" s="4" t="str">
        <f>IF(COUNTA(E115),_xlfn.CONCAT("SW-FW-UnitTest-CM3-ID-",COUNTA(E$91:E115)),"")</f>
        <v>SW-FW-UnitTest-CM3-ID-25</v>
      </c>
      <c r="E115" s="3" t="s">
        <v>123</v>
      </c>
      <c r="F115" s="3" t="s">
        <v>19</v>
      </c>
      <c r="G115" s="3" t="s">
        <v>366</v>
      </c>
      <c r="H115" s="15" t="s">
        <v>13</v>
      </c>
      <c r="I115" s="13" t="s">
        <v>13</v>
      </c>
      <c r="J115" s="13" t="s">
        <v>21</v>
      </c>
      <c r="K115" s="16" t="str">
        <f t="shared" si="2"/>
        <v>- 맵 번호 업데이트  구현</v>
      </c>
    </row>
    <row r="116" spans="2:11" x14ac:dyDescent="0.45">
      <c r="B116" s="76"/>
      <c r="C116" s="88"/>
      <c r="D116" s="4" t="str">
        <f>IF(COUNTA(E116),_xlfn.CONCAT("SW-FW-UnitTest-CM3-ID-",COUNTA(E$91:E116)),"")</f>
        <v>SW-FW-UnitTest-CM3-ID-26</v>
      </c>
      <c r="E116" s="3" t="s">
        <v>140</v>
      </c>
      <c r="F116" s="3" t="s">
        <v>19</v>
      </c>
      <c r="G116" s="3" t="s">
        <v>367</v>
      </c>
      <c r="H116" s="15" t="s">
        <v>13</v>
      </c>
      <c r="I116" s="13" t="s">
        <v>13</v>
      </c>
      <c r="J116" s="13" t="s">
        <v>21</v>
      </c>
      <c r="K116" s="16" t="str">
        <f t="shared" si="2"/>
        <v>- 자극 알림 출력 구현</v>
      </c>
    </row>
    <row r="117" spans="2:11" x14ac:dyDescent="0.45">
      <c r="B117" s="76"/>
      <c r="C117" s="88"/>
      <c r="D117" s="4" t="str">
        <f>IF(COUNTA(E117),_xlfn.CONCAT("SW-FW-UnitTest-CM3-ID-",COUNTA(E$91:E117)),"")</f>
        <v>SW-FW-UnitTest-CM3-ID-27</v>
      </c>
      <c r="E117" s="3" t="s">
        <v>125</v>
      </c>
      <c r="F117" s="3" t="s">
        <v>19</v>
      </c>
      <c r="G117" s="3" t="s">
        <v>368</v>
      </c>
      <c r="H117" s="15" t="s">
        <v>13</v>
      </c>
      <c r="I117" s="13" t="s">
        <v>13</v>
      </c>
      <c r="J117" s="13" t="s">
        <v>21</v>
      </c>
      <c r="K117" s="16" t="str">
        <f t="shared" si="2"/>
        <v>- PMIC On/Off  구현</v>
      </c>
    </row>
    <row r="118" spans="2:11" x14ac:dyDescent="0.45">
      <c r="B118" s="76"/>
      <c r="C118" s="88"/>
      <c r="D118" s="4" t="str">
        <f>IF(COUNTA(E118),_xlfn.CONCAT("SW-FW-UnitTest-CM3-ID-",COUNTA(E$91:E118)),"")</f>
        <v>SW-FW-UnitTest-CM3-ID-28</v>
      </c>
      <c r="E118" s="3" t="s">
        <v>124</v>
      </c>
      <c r="F118" s="3" t="s">
        <v>19</v>
      </c>
      <c r="G118" s="3" t="s">
        <v>369</v>
      </c>
      <c r="H118" s="15" t="s">
        <v>13</v>
      </c>
      <c r="I118" s="13" t="s">
        <v>13</v>
      </c>
      <c r="J118" s="13" t="s">
        <v>21</v>
      </c>
      <c r="K118" s="16" t="str">
        <f>_xlfn.CONCAT("- ", E118, " 구현")</f>
        <v>- LED 패턴 출력  구현</v>
      </c>
    </row>
    <row r="119" spans="2:11" x14ac:dyDescent="0.45">
      <c r="B119" s="76"/>
      <c r="C119" s="88"/>
      <c r="D119" s="4" t="str">
        <f>IF(COUNTA(E119),_xlfn.CONCAT("SW-FW-UnitTest-CM3-ID-",COUNTA(E$91:E119)),"")</f>
        <v>SW-FW-UnitTest-CM3-ID-29</v>
      </c>
      <c r="E119" s="3" t="s">
        <v>126</v>
      </c>
      <c r="F119" s="3" t="s">
        <v>19</v>
      </c>
      <c r="G119" s="3" t="s">
        <v>370</v>
      </c>
      <c r="H119" s="15" t="s">
        <v>13</v>
      </c>
      <c r="I119" s="13" t="s">
        <v>13</v>
      </c>
      <c r="J119" s="13" t="s">
        <v>21</v>
      </c>
      <c r="K119" s="16" t="str">
        <f t="shared" si="2"/>
        <v>- NRF On/Off 구현</v>
      </c>
    </row>
    <row r="120" spans="2:11" x14ac:dyDescent="0.45">
      <c r="B120" s="76"/>
      <c r="C120" s="88"/>
      <c r="D120" s="4" t="str">
        <f>IF(COUNTA(E120),_xlfn.CONCAT("SW-FW-UnitTest-CM3-ID-",COUNTA(E$91:E120)),"")</f>
        <v>SW-FW-UnitTest-CM3-ID-30</v>
      </c>
      <c r="E120" s="3" t="s">
        <v>127</v>
      </c>
      <c r="F120" s="3" t="s">
        <v>19</v>
      </c>
      <c r="G120" s="3" t="s">
        <v>371</v>
      </c>
      <c r="H120" s="13" t="s">
        <v>13</v>
      </c>
      <c r="I120" s="13" t="s">
        <v>13</v>
      </c>
      <c r="J120" s="13" t="s">
        <v>21</v>
      </c>
      <c r="K120" s="16" t="str">
        <f t="shared" si="2"/>
        <v>- 공유메모리 접근, USB 커넥터 상태 읽기 구현</v>
      </c>
    </row>
    <row r="121" spans="2:11" x14ac:dyDescent="0.45">
      <c r="B121" s="76"/>
      <c r="C121" s="88"/>
      <c r="D121" s="4" t="str">
        <f>IF(COUNTA(E121),_xlfn.CONCAT("SW-FW-UnitTest-CM3-ID-",COUNTA(E$91:E121)),"")</f>
        <v>SW-FW-UnitTest-CM3-ID-31</v>
      </c>
      <c r="E121" s="3" t="s">
        <v>128</v>
      </c>
      <c r="F121" s="3" t="s">
        <v>19</v>
      </c>
      <c r="G121" s="3" t="s">
        <v>372</v>
      </c>
      <c r="H121" s="13" t="s">
        <v>13</v>
      </c>
      <c r="I121" s="13" t="s">
        <v>13</v>
      </c>
      <c r="J121" s="13" t="s">
        <v>21</v>
      </c>
      <c r="K121" s="16" t="str">
        <f t="shared" si="2"/>
        <v>- 공유메모리 접근, 전원 버튼 상태 읽기 구현</v>
      </c>
    </row>
    <row r="122" spans="2:11" x14ac:dyDescent="0.45">
      <c r="B122" s="76"/>
      <c r="C122" s="88"/>
      <c r="D122" s="4" t="str">
        <f>IF(COUNTA(E122),_xlfn.CONCAT("SW-FW-UnitTest-CM3-ID-",COUNTA(E$91:E122)),"")</f>
        <v>SW-FW-UnitTest-CM3-ID-32</v>
      </c>
      <c r="E122" s="3" t="s">
        <v>129</v>
      </c>
      <c r="F122" s="3" t="s">
        <v>19</v>
      </c>
      <c r="G122" s="3" t="s">
        <v>373</v>
      </c>
      <c r="H122" s="13" t="s">
        <v>13</v>
      </c>
      <c r="I122" s="13" t="s">
        <v>13</v>
      </c>
      <c r="J122" s="13" t="s">
        <v>21</v>
      </c>
      <c r="K122" s="16" t="str">
        <f t="shared" si="2"/>
        <v>- 공유메모리 접근, PMIC On/Off 구현</v>
      </c>
    </row>
    <row r="123" spans="2:11" x14ac:dyDescent="0.45">
      <c r="B123" s="76"/>
      <c r="C123" s="88"/>
      <c r="D123" s="4" t="str">
        <f>IF(COUNTA(E123),_xlfn.CONCAT("SW-FW-UnitTest-CM3-ID-",COUNTA(E$91:E123)),"")</f>
        <v>SW-FW-UnitTest-CM3-ID-33</v>
      </c>
      <c r="E123" s="3" t="s">
        <v>130</v>
      </c>
      <c r="F123" s="3" t="s">
        <v>19</v>
      </c>
      <c r="G123" s="3" t="s">
        <v>374</v>
      </c>
      <c r="H123" s="13" t="s">
        <v>13</v>
      </c>
      <c r="I123" s="13" t="s">
        <v>13</v>
      </c>
      <c r="J123" s="13" t="s">
        <v>21</v>
      </c>
      <c r="K123" s="16" t="str">
        <f t="shared" si="2"/>
        <v>- 공유메모리 접근, 저전력 모드 진입 구현</v>
      </c>
    </row>
    <row r="124" spans="2:11" x14ac:dyDescent="0.45">
      <c r="B124" s="76"/>
      <c r="C124" s="88"/>
      <c r="D124" s="4" t="str">
        <f>IF(COUNTA(E124),_xlfn.CONCAT("SW-FW-UnitTest-CM3-ID-",COUNTA(E$91:E124)),"")</f>
        <v>SW-FW-UnitTest-CM3-ID-34</v>
      </c>
      <c r="E124" s="3" t="s">
        <v>131</v>
      </c>
      <c r="F124" s="3" t="s">
        <v>19</v>
      </c>
      <c r="G124" s="3" t="s">
        <v>375</v>
      </c>
      <c r="H124" s="13" t="s">
        <v>13</v>
      </c>
      <c r="I124" s="13" t="s">
        <v>13</v>
      </c>
      <c r="J124" s="13" t="s">
        <v>21</v>
      </c>
      <c r="K124" s="16" t="str">
        <f t="shared" si="2"/>
        <v>- 공유메모리 접근, 배터리 전압 교정값 읽기 구현</v>
      </c>
    </row>
    <row r="125" spans="2:11" x14ac:dyDescent="0.45">
      <c r="B125" s="76"/>
      <c r="C125" s="88"/>
      <c r="D125" s="4" t="str">
        <f>IF(COUNTA(E125),_xlfn.CONCAT("SW-FW-UnitTest-CM3-ID-",COUNTA(E$91:E125)),"")</f>
        <v>SW-FW-UnitTest-CM3-ID-35</v>
      </c>
      <c r="E125" s="3" t="s">
        <v>132</v>
      </c>
      <c r="F125" s="3" t="s">
        <v>19</v>
      </c>
      <c r="G125" s="3" t="s">
        <v>376</v>
      </c>
      <c r="H125" s="13" t="s">
        <v>13</v>
      </c>
      <c r="I125" s="13" t="s">
        <v>13</v>
      </c>
      <c r="J125" s="13" t="s">
        <v>21</v>
      </c>
      <c r="K125" s="16" t="str">
        <f t="shared" si="2"/>
        <v>- 공유메모리 접근, 배터리 전압 값 읽기 구현</v>
      </c>
    </row>
    <row r="126" spans="2:11" x14ac:dyDescent="0.45">
      <c r="B126" s="76"/>
      <c r="C126" s="88"/>
      <c r="D126" s="4" t="str">
        <f>IF(COUNTA(E126),_xlfn.CONCAT("SW-FW-UnitTest-CM3-ID-",COUNTA(E$91:E126)),"")</f>
        <v>SW-FW-UnitTest-CM3-ID-36</v>
      </c>
      <c r="E126" s="3" t="s">
        <v>133</v>
      </c>
      <c r="F126" s="3" t="s">
        <v>19</v>
      </c>
      <c r="G126" s="3" t="s">
        <v>377</v>
      </c>
      <c r="H126" s="13" t="s">
        <v>13</v>
      </c>
      <c r="I126" s="13" t="s">
        <v>13</v>
      </c>
      <c r="J126" s="13" t="s">
        <v>21</v>
      </c>
      <c r="K126" s="16" t="str">
        <f t="shared" si="2"/>
        <v>- 공유메모리 접근, PCM 출력 모드 변경 구현</v>
      </c>
    </row>
    <row r="127" spans="2:11" x14ac:dyDescent="0.45">
      <c r="B127" s="76"/>
      <c r="C127" s="88"/>
      <c r="D127" s="4" t="str">
        <f>IF(COUNTA(E127),_xlfn.CONCAT("SW-FW-UnitTest-CM3-ID-",COUNTA(E$91:E127)),"")</f>
        <v>SW-FW-UnitTest-CM3-ID-37</v>
      </c>
      <c r="E127" s="3" t="s">
        <v>134</v>
      </c>
      <c r="F127" s="3" t="s">
        <v>19</v>
      </c>
      <c r="G127" s="3" t="s">
        <v>378</v>
      </c>
      <c r="H127" s="13" t="s">
        <v>13</v>
      </c>
      <c r="I127" s="13" t="s">
        <v>13</v>
      </c>
      <c r="J127" s="13" t="s">
        <v>21</v>
      </c>
      <c r="K127" s="16" t="str">
        <f t="shared" si="2"/>
        <v>- 공유메모리 접근, next PCM 출력 모드 변경 구현</v>
      </c>
    </row>
    <row r="128" spans="2:11" x14ac:dyDescent="0.45">
      <c r="B128" s="76"/>
      <c r="C128" s="88"/>
      <c r="D128" s="4" t="str">
        <f>IF(COUNTA(E128),_xlfn.CONCAT("SW-FW-UnitTest-CM3-ID-",COUNTA(E$91:E128)),"")</f>
        <v>SW-FW-UnitTest-CM3-ID-38</v>
      </c>
      <c r="E128" s="3" t="s">
        <v>233</v>
      </c>
      <c r="F128" s="3" t="s">
        <v>19</v>
      </c>
      <c r="G128" s="3" t="s">
        <v>379</v>
      </c>
      <c r="H128" s="13" t="s">
        <v>13</v>
      </c>
      <c r="I128" s="13" t="s">
        <v>13</v>
      </c>
      <c r="J128" s="13" t="s">
        <v>21</v>
      </c>
      <c r="K128" s="16" t="str">
        <f t="shared" si="2"/>
        <v>- 공유메모리 접근, PCM 출력 버퍼 데이터 채우기 구현</v>
      </c>
    </row>
    <row r="129" spans="2:11" x14ac:dyDescent="0.45">
      <c r="B129" s="76"/>
      <c r="C129" s="88"/>
      <c r="D129" s="4" t="str">
        <f>IF(COUNTA(E129),_xlfn.CONCAT("SW-FW-UnitTest-CM3-ID-",COUNTA(E$91:E129)),"")</f>
        <v>SW-FW-UnitTest-CM3-ID-39</v>
      </c>
      <c r="E129" s="3" t="s">
        <v>135</v>
      </c>
      <c r="F129" s="3" t="s">
        <v>19</v>
      </c>
      <c r="G129" s="3" t="s">
        <v>380</v>
      </c>
      <c r="H129" s="13" t="s">
        <v>13</v>
      </c>
      <c r="I129" s="13" t="s">
        <v>13</v>
      </c>
      <c r="J129" s="13" t="s">
        <v>21</v>
      </c>
      <c r="K129" s="16" t="str">
        <f t="shared" si="2"/>
        <v>- 공유메모리 접근, PCM 출력 모드 읽기 구현</v>
      </c>
    </row>
    <row r="130" spans="2:11" x14ac:dyDescent="0.45">
      <c r="B130" s="76"/>
      <c r="C130" s="88"/>
      <c r="D130" s="4" t="str">
        <f>IF(COUNTA(E130),_xlfn.CONCAT("SW-FW-UnitTest-CM3-ID-",COUNTA(E$91:E130)),"")</f>
        <v>SW-FW-UnitTest-CM3-ID-40</v>
      </c>
      <c r="E130" s="3" t="s">
        <v>136</v>
      </c>
      <c r="F130" s="3" t="s">
        <v>19</v>
      </c>
      <c r="G130" s="3" t="s">
        <v>381</v>
      </c>
      <c r="H130" s="13" t="s">
        <v>13</v>
      </c>
      <c r="I130" s="13" t="s">
        <v>13</v>
      </c>
      <c r="J130" s="13" t="s">
        <v>21</v>
      </c>
      <c r="K130" s="16" t="str">
        <f t="shared" si="2"/>
        <v>- 공유메모리 접근, 내부기 연결 검사용 PCM 출력 상태 읽기 구현</v>
      </c>
    </row>
    <row r="131" spans="2:11" x14ac:dyDescent="0.45">
      <c r="B131" s="76"/>
      <c r="C131" s="88"/>
      <c r="D131" s="4" t="str">
        <f>IF(COUNTA(E131),_xlfn.CONCAT("SW-FW-UnitTest-CM3-ID-",COUNTA(E$91:E131)),"")</f>
        <v>SW-FW-UnitTest-CM3-ID-41</v>
      </c>
      <c r="E131" s="3" t="s">
        <v>137</v>
      </c>
      <c r="F131" s="3" t="s">
        <v>19</v>
      </c>
      <c r="G131" s="3" t="s">
        <v>382</v>
      </c>
      <c r="H131" s="13" t="s">
        <v>13</v>
      </c>
      <c r="I131" s="13" t="s">
        <v>13</v>
      </c>
      <c r="J131" s="13" t="s">
        <v>21</v>
      </c>
      <c r="K131" s="16" t="str">
        <f t="shared" si="2"/>
        <v>- 공유메모리 접근, 내부기 연결 검사용 PCM 출력 상태 지우기 구현</v>
      </c>
    </row>
    <row r="132" spans="2:11" x14ac:dyDescent="0.45">
      <c r="B132" s="76"/>
      <c r="C132" s="88"/>
      <c r="D132" s="4" t="str">
        <f>IF(COUNTA(E132),_xlfn.CONCAT("SW-FW-UnitTest-CM3-ID-",COUNTA(E$91:E132)),"")</f>
        <v>SW-FW-UnitTest-CM3-ID-42</v>
      </c>
      <c r="E132" s="3" t="s">
        <v>138</v>
      </c>
      <c r="F132" s="3" t="s">
        <v>19</v>
      </c>
      <c r="G132" s="3" t="s">
        <v>383</v>
      </c>
      <c r="H132" s="13" t="s">
        <v>13</v>
      </c>
      <c r="I132" s="13" t="s">
        <v>13</v>
      </c>
      <c r="J132" s="13" t="s">
        <v>21</v>
      </c>
      <c r="K132" s="16" t="str">
        <f t="shared" si="2"/>
        <v>- 공유메모리 접근, 사용자 설정 값 로딩 여부 확인 구현</v>
      </c>
    </row>
    <row r="133" spans="2:11" x14ac:dyDescent="0.45">
      <c r="B133" s="76"/>
      <c r="C133" s="88"/>
      <c r="D133" s="4" t="str">
        <f>IF(COUNTA(E133),_xlfn.CONCAT("SW-FW-UnitTest-CM3-ID-",COUNTA(E$91:E133)),"")</f>
        <v>SW-FW-UnitTest-CM3-ID-43</v>
      </c>
      <c r="E133" s="3" t="s">
        <v>139</v>
      </c>
      <c r="F133" s="3" t="s">
        <v>19</v>
      </c>
      <c r="G133" s="3" t="s">
        <v>384</v>
      </c>
      <c r="H133" s="13" t="s">
        <v>13</v>
      </c>
      <c r="I133" s="13" t="s">
        <v>13</v>
      </c>
      <c r="J133" s="13" t="s">
        <v>21</v>
      </c>
      <c r="K133" s="16" t="str">
        <f t="shared" si="2"/>
        <v>- 공유메모리 접근, 맵 변경 명령 전달 구현</v>
      </c>
    </row>
    <row r="134" spans="2:11" x14ac:dyDescent="0.45">
      <c r="B134" s="76"/>
      <c r="C134" s="88"/>
      <c r="D134" s="4" t="str">
        <f>IF(COUNTA(E134),_xlfn.CONCAT("SW-FW-UnitTest-CM3-ID-",COUNTA(E$91:E134)),"")</f>
        <v>SW-FW-UnitTest-CM3-ID-44</v>
      </c>
      <c r="E134" s="3" t="s">
        <v>141</v>
      </c>
      <c r="F134" s="3" t="s">
        <v>19</v>
      </c>
      <c r="G134" s="3" t="s">
        <v>385</v>
      </c>
      <c r="H134" s="13" t="s">
        <v>13</v>
      </c>
      <c r="I134" s="13" t="s">
        <v>13</v>
      </c>
      <c r="J134" s="13" t="s">
        <v>21</v>
      </c>
      <c r="K134" s="16" t="str">
        <f t="shared" si="2"/>
        <v>- 공유메모리 접근, 맵 데이터 로딩여부 확인 구현</v>
      </c>
    </row>
    <row r="135" spans="2:11" x14ac:dyDescent="0.45">
      <c r="B135" s="76"/>
      <c r="C135" s="88"/>
      <c r="D135" s="4" t="str">
        <f>IF(COUNTA(E135),_xlfn.CONCAT("SW-FW-UnitTest-CM3-ID-",COUNTA(E$91:E135)),"")</f>
        <v>SW-FW-UnitTest-CM3-ID-45</v>
      </c>
      <c r="E135" s="3" t="s">
        <v>142</v>
      </c>
      <c r="F135" s="3" t="s">
        <v>19</v>
      </c>
      <c r="G135" s="3" t="s">
        <v>386</v>
      </c>
      <c r="H135" s="13" t="s">
        <v>13</v>
      </c>
      <c r="I135" s="13" t="s">
        <v>13</v>
      </c>
      <c r="J135" s="13" t="s">
        <v>21</v>
      </c>
      <c r="K135" s="16" t="str">
        <f t="shared" si="2"/>
        <v>- 공유메모리 접근, 현재 맵 데이터 주소 반환 구현</v>
      </c>
    </row>
    <row r="136" spans="2:11" x14ac:dyDescent="0.45">
      <c r="B136" s="76"/>
      <c r="C136" s="88"/>
      <c r="D136" s="4" t="str">
        <f>IF(COUNTA(E136),_xlfn.CONCAT("SW-FW-UnitTest-CM3-ID-",COUNTA(E$91:E136)),"")</f>
        <v>SW-FW-UnitTest-CM3-ID-46</v>
      </c>
      <c r="E136" s="3" t="s">
        <v>143</v>
      </c>
      <c r="F136" s="3" t="s">
        <v>19</v>
      </c>
      <c r="G136" s="3" t="s">
        <v>387</v>
      </c>
      <c r="H136" s="13" t="s">
        <v>13</v>
      </c>
      <c r="I136" s="13" t="s">
        <v>13</v>
      </c>
      <c r="J136" s="13" t="s">
        <v>21</v>
      </c>
      <c r="K136" s="16" t="str">
        <f t="shared" si="2"/>
        <v>- 공유메모리 접근, CM3 계산된 자극 파라미터 주소 반환 구현</v>
      </c>
    </row>
    <row r="137" spans="2:11" x14ac:dyDescent="0.45">
      <c r="B137" s="76"/>
      <c r="C137" s="88"/>
      <c r="D137" s="4" t="str">
        <f>IF(COUNTA(E137),_xlfn.CONCAT("SW-FW-UnitTest-CM3-ID-",COUNTA(E$91:E137)),"")</f>
        <v>SW-FW-UnitTest-CM3-ID-47</v>
      </c>
      <c r="E137" s="3" t="s">
        <v>144</v>
      </c>
      <c r="F137" s="3" t="s">
        <v>19</v>
      </c>
      <c r="G137" s="3" t="s">
        <v>388</v>
      </c>
      <c r="H137" s="13" t="s">
        <v>13</v>
      </c>
      <c r="I137" s="13" t="s">
        <v>13</v>
      </c>
      <c r="J137" s="13" t="s">
        <v>21</v>
      </c>
      <c r="K137" s="16" t="str">
        <f t="shared" si="2"/>
        <v>- 공유메모리 접근, 계산된 자극 알림 크기 전달 구현</v>
      </c>
    </row>
    <row r="138" spans="2:11" x14ac:dyDescent="0.45">
      <c r="B138" s="76"/>
      <c r="C138" s="88"/>
      <c r="D138" s="4" t="str">
        <f>IF(COUNTA(E138),_xlfn.CONCAT("SW-FW-UnitTest-CM3-ID-",COUNTA(E$91:E138)),"")</f>
        <v>SW-FW-UnitTest-CM3-ID-48</v>
      </c>
      <c r="E138" s="3" t="s">
        <v>145</v>
      </c>
      <c r="F138" s="3" t="s">
        <v>19</v>
      </c>
      <c r="G138" s="3" t="s">
        <v>389</v>
      </c>
      <c r="H138" s="13" t="s">
        <v>13</v>
      </c>
      <c r="I138" s="13" t="s">
        <v>13</v>
      </c>
      <c r="J138" s="13" t="s">
        <v>21</v>
      </c>
      <c r="K138" s="16" t="str">
        <f t="shared" si="2"/>
        <v>- 공유메모리 접근,자극 알림 신호 On/Off 전달 구현</v>
      </c>
    </row>
    <row r="139" spans="2:11" x14ac:dyDescent="0.45">
      <c r="B139" s="76"/>
      <c r="C139" s="88"/>
      <c r="D139" s="4" t="str">
        <f>IF(COUNTA(E139),_xlfn.CONCAT("SW-FW-UnitTest-CM3-ID-",COUNTA(E$91:E139)),"")</f>
        <v>SW-FW-UnitTest-CM3-ID-49</v>
      </c>
      <c r="E139" s="3" t="s">
        <v>146</v>
      </c>
      <c r="F139" s="3" t="s">
        <v>19</v>
      </c>
      <c r="G139" s="3" t="s">
        <v>390</v>
      </c>
      <c r="H139" s="13" t="s">
        <v>13</v>
      </c>
      <c r="I139" s="13" t="s">
        <v>13</v>
      </c>
      <c r="J139" s="13" t="s">
        <v>21</v>
      </c>
      <c r="K139" s="16" t="str">
        <f t="shared" si="2"/>
        <v>- 공유메모리 접근, CM3 오디오 신호처리 파라미터 계산 완료 전달 구현</v>
      </c>
    </row>
    <row r="140" spans="2:11" x14ac:dyDescent="0.45">
      <c r="B140" s="76"/>
      <c r="C140" s="88"/>
      <c r="D140" s="4" t="str">
        <f>IF(COUNTA(E140),_xlfn.CONCAT("SW-FW-UnitTest-CM3-ID-",COUNTA(E$91:E140)),"")</f>
        <v>SW-FW-UnitTest-CM3-ID-50</v>
      </c>
      <c r="E140" s="3" t="s">
        <v>147</v>
      </c>
      <c r="F140" s="3" t="s">
        <v>19</v>
      </c>
      <c r="G140" s="3" t="s">
        <v>391</v>
      </c>
      <c r="H140" s="13" t="s">
        <v>13</v>
      </c>
      <c r="I140" s="13" t="s">
        <v>13</v>
      </c>
      <c r="J140" s="13" t="s">
        <v>21</v>
      </c>
      <c r="K140" s="16" t="str">
        <f t="shared" si="2"/>
        <v>- 공유메모리 접근, 백텔 설정 값 전달 구현</v>
      </c>
    </row>
    <row r="141" spans="2:11" x14ac:dyDescent="0.45">
      <c r="B141" s="76"/>
      <c r="C141" s="88"/>
      <c r="D141" s="4" t="str">
        <f>IF(COUNTA(E141),_xlfn.CONCAT("SW-FW-UnitTest-CM3-ID-",COUNTA(E$91:E141)),"")</f>
        <v>SW-FW-UnitTest-CM3-ID-51</v>
      </c>
      <c r="E141" s="3" t="s">
        <v>148</v>
      </c>
      <c r="F141" s="3" t="s">
        <v>19</v>
      </c>
      <c r="G141" s="3" t="s">
        <v>392</v>
      </c>
      <c r="H141" s="13" t="s">
        <v>13</v>
      </c>
      <c r="I141" s="13" t="s">
        <v>13</v>
      </c>
      <c r="J141" s="13" t="s">
        <v>21</v>
      </c>
      <c r="K141" s="16" t="str">
        <f t="shared" si="2"/>
        <v>- 공유메모리 접근, 현재 자극 출력 값 읽기 구현</v>
      </c>
    </row>
    <row r="142" spans="2:11" x14ac:dyDescent="0.45">
      <c r="B142" s="76"/>
      <c r="C142" s="88"/>
      <c r="D142" s="4" t="str">
        <f>IF(COUNTA(E142),_xlfn.CONCAT("SW-FW-UnitTest-CM3-ID-",COUNTA(E$91:E142)),"")</f>
        <v>SW-FW-UnitTest-CM3-ID-52</v>
      </c>
      <c r="E142" s="3" t="s">
        <v>149</v>
      </c>
      <c r="F142" s="3" t="s">
        <v>19</v>
      </c>
      <c r="G142" s="3" t="s">
        <v>393</v>
      </c>
      <c r="H142" s="13" t="s">
        <v>13</v>
      </c>
      <c r="I142" s="13" t="s">
        <v>13</v>
      </c>
      <c r="J142" s="13" t="s">
        <v>21</v>
      </c>
      <c r="K142" s="16" t="str">
        <f t="shared" si="2"/>
        <v>- 공유메모리 접근, 오디오 입력(ADC) 최대값 읽기 구현</v>
      </c>
    </row>
    <row r="143" spans="2:11" x14ac:dyDescent="0.45">
      <c r="B143" s="76"/>
      <c r="C143" s="88"/>
      <c r="D143" s="4" t="str">
        <f>IF(COUNTA(E143),_xlfn.CONCAT("SW-FW-UnitTest-CM3-ID-",COUNTA(E$91:E143)),"")</f>
        <v>SW-FW-UnitTest-CM3-ID-53</v>
      </c>
      <c r="E143" s="3" t="s">
        <v>150</v>
      </c>
      <c r="F143" s="3" t="s">
        <v>19</v>
      </c>
      <c r="G143" s="3" t="s">
        <v>394</v>
      </c>
      <c r="H143" s="13" t="s">
        <v>13</v>
      </c>
      <c r="I143" s="13" t="s">
        <v>13</v>
      </c>
      <c r="J143" s="13" t="s">
        <v>21</v>
      </c>
      <c r="K143" s="16" t="str">
        <f t="shared" si="2"/>
        <v>- 공유메모리 접근, 내부기 ID 읽기 구현</v>
      </c>
    </row>
    <row r="144" spans="2:11" x14ac:dyDescent="0.45">
      <c r="B144" s="76"/>
      <c r="C144" s="88"/>
      <c r="D144" s="4" t="str">
        <f>IF(COUNTA(E144),_xlfn.CONCAT("SW-FW-UnitTest-CM3-ID-",COUNTA(E$91:E144)),"")</f>
        <v>SW-FW-UnitTest-CM3-ID-54</v>
      </c>
      <c r="E144" s="3" t="s">
        <v>151</v>
      </c>
      <c r="F144" s="3" t="s">
        <v>19</v>
      </c>
      <c r="G144" s="3" t="s">
        <v>395</v>
      </c>
      <c r="H144" s="13" t="s">
        <v>13</v>
      </c>
      <c r="I144" s="13" t="s">
        <v>13</v>
      </c>
      <c r="J144" s="13" t="s">
        <v>21</v>
      </c>
      <c r="K144" s="16" t="str">
        <f t="shared" si="2"/>
        <v>- 공유메모리 접근, 연결된 내부기 리콘용 접속 키 읽기 구현</v>
      </c>
    </row>
    <row r="145" spans="2:11" x14ac:dyDescent="0.45">
      <c r="B145" s="76"/>
      <c r="C145" s="88"/>
      <c r="D145" s="4" t="str">
        <f>IF(COUNTA(E145),_xlfn.CONCAT("SW-FW-UnitTest-CM3-ID-",COUNTA(E$91:E145)),"")</f>
        <v>SW-FW-UnitTest-CM3-ID-55</v>
      </c>
      <c r="E145" s="3" t="s">
        <v>152</v>
      </c>
      <c r="F145" s="3" t="s">
        <v>19</v>
      </c>
      <c r="G145" s="3" t="s">
        <v>396</v>
      </c>
      <c r="H145" s="13" t="s">
        <v>13</v>
      </c>
      <c r="I145" s="13" t="s">
        <v>13</v>
      </c>
      <c r="J145" s="13" t="s">
        <v>21</v>
      </c>
      <c r="K145" s="16" t="str">
        <f t="shared" si="2"/>
        <v>- 공유메모리 접근, 연결된 내부기 번호 전달 구현</v>
      </c>
    </row>
    <row r="146" spans="2:11" x14ac:dyDescent="0.45">
      <c r="B146" s="76"/>
      <c r="C146" s="88"/>
      <c r="D146" s="4" t="str">
        <f>IF(COUNTA(E146),_xlfn.CONCAT("SW-FW-UnitTest-CM3-ID-",COUNTA(E$91:E146)),"")</f>
        <v>SW-FW-UnitTest-CM3-ID-56</v>
      </c>
      <c r="E146" s="3" t="s">
        <v>234</v>
      </c>
      <c r="F146" s="3" t="s">
        <v>19</v>
      </c>
      <c r="G146" s="3" t="s">
        <v>397</v>
      </c>
      <c r="H146" s="13" t="s">
        <v>13</v>
      </c>
      <c r="I146" s="13" t="s">
        <v>13</v>
      </c>
      <c r="J146" s="13" t="s">
        <v>21</v>
      </c>
      <c r="K146" s="16" t="str">
        <f t="shared" si="2"/>
        <v>- 공유메모리 접근, 연결된 내부기 번호 읽기 구현</v>
      </c>
    </row>
    <row r="147" spans="2:11" x14ac:dyDescent="0.45">
      <c r="B147" s="76"/>
      <c r="C147" s="88"/>
      <c r="D147" s="4" t="str">
        <f>IF(COUNTA(E147),_xlfn.CONCAT("SW-FW-UnitTest-CM3-ID-",COUNTA(E$91:E147)),"")</f>
        <v>SW-FW-UnitTest-CM3-ID-57</v>
      </c>
      <c r="E147" s="3" t="s">
        <v>153</v>
      </c>
      <c r="F147" s="3" t="s">
        <v>19</v>
      </c>
      <c r="G147" s="3" t="s">
        <v>398</v>
      </c>
      <c r="H147" s="13" t="s">
        <v>13</v>
      </c>
      <c r="I147" s="13" t="s">
        <v>13</v>
      </c>
      <c r="J147" s="13" t="s">
        <v>21</v>
      </c>
      <c r="K147" s="16" t="str">
        <f t="shared" si="2"/>
        <v>- 공유메모리 접근, 연결된 내부기 사용자 이름 읽기 구현</v>
      </c>
    </row>
    <row r="148" spans="2:11" x14ac:dyDescent="0.45">
      <c r="B148" s="76"/>
      <c r="C148" s="88"/>
      <c r="D148" s="4" t="str">
        <f>IF(COUNTA(E148),_xlfn.CONCAT("SW-FW-UnitTest-CM3-ID-",COUNTA(E$91:E148)),"")</f>
        <v>SW-FW-UnitTest-CM3-ID-58</v>
      </c>
      <c r="E148" s="3" t="s">
        <v>154</v>
      </c>
      <c r="F148" s="3" t="s">
        <v>19</v>
      </c>
      <c r="G148" s="3" t="s">
        <v>399</v>
      </c>
      <c r="H148" s="13" t="s">
        <v>13</v>
      </c>
      <c r="I148" s="13" t="s">
        <v>13</v>
      </c>
      <c r="J148" s="13" t="s">
        <v>21</v>
      </c>
      <c r="K148" s="16" t="str">
        <f t="shared" si="2"/>
        <v>- 공유메모리 접근, 연결된 내부기 수술위치 읽기 구현</v>
      </c>
    </row>
    <row r="149" spans="2:11" x14ac:dyDescent="0.45">
      <c r="B149" s="76"/>
      <c r="C149" s="88"/>
      <c r="D149" s="4" t="str">
        <f>IF(COUNTA(E149),_xlfn.CONCAT("SW-FW-UnitTest-CM3-ID-",COUNTA(E$91:E149)),"")</f>
        <v>SW-FW-UnitTest-CM3-ID-59</v>
      </c>
      <c r="E149" s="3" t="s">
        <v>155</v>
      </c>
      <c r="F149" s="3" t="s">
        <v>19</v>
      </c>
      <c r="G149" s="3" t="s">
        <v>400</v>
      </c>
      <c r="H149" s="13" t="s">
        <v>13</v>
      </c>
      <c r="I149" s="13" t="s">
        <v>13</v>
      </c>
      <c r="J149" s="13" t="s">
        <v>21</v>
      </c>
      <c r="K149" s="16" t="str">
        <f t="shared" si="2"/>
        <v>- 공유메모리 접근, 연결된 내부기의 사용가능한 맵 개수 읽기 구현</v>
      </c>
    </row>
    <row r="150" spans="2:11" x14ac:dyDescent="0.45">
      <c r="B150" s="76"/>
      <c r="C150" s="88"/>
      <c r="D150" s="4" t="str">
        <f>IF(COUNTA(E150),_xlfn.CONCAT("SW-FW-UnitTest-CM3-ID-",COUNTA(E$91:E150)),"")</f>
        <v>SW-FW-UnitTest-CM3-ID-60</v>
      </c>
      <c r="E150" s="3" t="s">
        <v>156</v>
      </c>
      <c r="F150" s="3" t="s">
        <v>19</v>
      </c>
      <c r="G150" s="3" t="s">
        <v>401</v>
      </c>
      <c r="H150" s="13" t="s">
        <v>13</v>
      </c>
      <c r="I150" s="13" t="s">
        <v>13</v>
      </c>
      <c r="J150" s="13" t="s">
        <v>21</v>
      </c>
      <c r="K150" s="16" t="str">
        <f t="shared" si="2"/>
        <v>- 공유메모리 접근, 연결된 내부기의 사용 가능한 맵 인덱스 읽기 구현</v>
      </c>
    </row>
    <row r="151" spans="2:11" x14ac:dyDescent="0.45">
      <c r="B151" s="76"/>
      <c r="C151" s="88"/>
      <c r="D151" s="4" t="str">
        <f>IF(COUNTA(E151),_xlfn.CONCAT("SW-FW-UnitTest-CM3-ID-",COUNTA(E$91:E151)),"")</f>
        <v>SW-FW-UnitTest-CM3-ID-61</v>
      </c>
      <c r="E151" s="3" t="s">
        <v>157</v>
      </c>
      <c r="F151" s="3" t="s">
        <v>19</v>
      </c>
      <c r="G151" s="3" t="s">
        <v>402</v>
      </c>
      <c r="H151" s="13" t="s">
        <v>13</v>
      </c>
      <c r="I151" s="13" t="s">
        <v>13</v>
      </c>
      <c r="J151" s="13" t="s">
        <v>21</v>
      </c>
      <c r="K151" s="16" t="str">
        <f t="shared" si="2"/>
        <v>- 공유메모리 접근, 연결된 내부기의 맵 스탬프 읽기 구현</v>
      </c>
    </row>
    <row r="152" spans="2:11" x14ac:dyDescent="0.45">
      <c r="B152" s="76"/>
      <c r="C152" s="88"/>
      <c r="D152" s="4" t="str">
        <f>IF(COUNTA(E152),_xlfn.CONCAT("SW-FW-UnitTest-CM3-ID-",COUNTA(E$91:E152)),"")</f>
        <v>SW-FW-UnitTest-CM3-ID-62</v>
      </c>
      <c r="E152" s="3" t="s">
        <v>158</v>
      </c>
      <c r="F152" s="3" t="s">
        <v>19</v>
      </c>
      <c r="G152" s="3" t="s">
        <v>403</v>
      </c>
      <c r="H152" s="13" t="s">
        <v>13</v>
      </c>
      <c r="I152" s="13" t="s">
        <v>13</v>
      </c>
      <c r="J152" s="13" t="s">
        <v>21</v>
      </c>
      <c r="K152" s="16" t="str">
        <f t="shared" si="2"/>
        <v>- 공유메모리 접근, 연결된 내부기 맵 생성일자 읽기 구현</v>
      </c>
    </row>
    <row r="153" spans="2:11" x14ac:dyDescent="0.45">
      <c r="B153" s="76"/>
      <c r="C153" s="88"/>
      <c r="D153" s="4" t="str">
        <f>IF(COUNTA(E153),_xlfn.CONCAT("SW-FW-UnitTest-CM3-ID-",COUNTA(E$91:E153)),"")</f>
        <v>SW-FW-UnitTest-CM3-ID-63</v>
      </c>
      <c r="E153" s="3" t="s">
        <v>160</v>
      </c>
      <c r="F153" s="3" t="s">
        <v>19</v>
      </c>
      <c r="G153" s="3" t="s">
        <v>404</v>
      </c>
      <c r="H153" s="13" t="s">
        <v>13</v>
      </c>
      <c r="I153" s="13" t="s">
        <v>13</v>
      </c>
      <c r="J153" s="13" t="s">
        <v>21</v>
      </c>
      <c r="K153" s="16" t="str">
        <f t="shared" si="2"/>
        <v>- 공유메모리 접근, 맵 번호 변경 구현</v>
      </c>
    </row>
    <row r="154" spans="2:11" x14ac:dyDescent="0.45">
      <c r="B154" s="76"/>
      <c r="C154" s="88"/>
      <c r="D154" s="4" t="str">
        <f>IF(COUNTA(E154),_xlfn.CONCAT("SW-FW-UnitTest-CM3-ID-",COUNTA(E$91:E154)),"")</f>
        <v>SW-FW-UnitTest-CM3-ID-64</v>
      </c>
      <c r="E154" s="3" t="s">
        <v>159</v>
      </c>
      <c r="F154" s="3" t="s">
        <v>19</v>
      </c>
      <c r="G154" s="3" t="s">
        <v>405</v>
      </c>
      <c r="H154" s="13" t="s">
        <v>13</v>
      </c>
      <c r="I154" s="13" t="s">
        <v>13</v>
      </c>
      <c r="J154" s="13" t="s">
        <v>21</v>
      </c>
      <c r="K154" s="16" t="str">
        <f t="shared" si="2"/>
        <v>- 공유메모리 접근, 맵 번호 읽기 구현</v>
      </c>
    </row>
    <row r="155" spans="2:11" x14ac:dyDescent="0.45">
      <c r="B155" s="76"/>
      <c r="C155" s="88"/>
      <c r="D155" s="4" t="str">
        <f>IF(COUNTA(E155),_xlfn.CONCAT("SW-FW-UnitTest-CM3-ID-",COUNTA(E$91:E155)),"")</f>
        <v>SW-FW-UnitTest-CM3-ID-65</v>
      </c>
      <c r="E155" s="3" t="s">
        <v>161</v>
      </c>
      <c r="F155" s="3" t="s">
        <v>19</v>
      </c>
      <c r="G155" s="3" t="s">
        <v>406</v>
      </c>
      <c r="H155" s="13" t="s">
        <v>13</v>
      </c>
      <c r="I155" s="13" t="s">
        <v>13</v>
      </c>
      <c r="J155" s="13" t="s">
        <v>21</v>
      </c>
      <c r="K155" s="16" t="str">
        <f t="shared" si="2"/>
        <v>- 공유메모리 접근, 자극 볼륨 변경 구현</v>
      </c>
    </row>
    <row r="156" spans="2:11" x14ac:dyDescent="0.45">
      <c r="B156" s="76"/>
      <c r="C156" s="88"/>
      <c r="D156" s="4" t="str">
        <f>IF(COUNTA(E156),_xlfn.CONCAT("SW-FW-UnitTest-CM3-ID-",COUNTA(E$91:E156)),"")</f>
        <v>SW-FW-UnitTest-CM3-ID-66</v>
      </c>
      <c r="E156" s="3" t="s">
        <v>162</v>
      </c>
      <c r="F156" s="3" t="s">
        <v>19</v>
      </c>
      <c r="G156" s="3" t="s">
        <v>407</v>
      </c>
      <c r="H156" s="13" t="s">
        <v>13</v>
      </c>
      <c r="I156" s="13" t="s">
        <v>13</v>
      </c>
      <c r="J156" s="13" t="s">
        <v>21</v>
      </c>
      <c r="K156" s="16" t="str">
        <f t="shared" si="2"/>
        <v>- 공유메모리 접근, 자극 볼륨 읽기 구현</v>
      </c>
    </row>
    <row r="157" spans="2:11" x14ac:dyDescent="0.45">
      <c r="B157" s="76"/>
      <c r="C157" s="88"/>
      <c r="D157" s="4" t="str">
        <f>IF(COUNTA(E157),_xlfn.CONCAT("SW-FW-UnitTest-CM3-ID-",COUNTA(E$91:E157)),"")</f>
        <v>SW-FW-UnitTest-CM3-ID-67</v>
      </c>
      <c r="E157" s="3" t="s">
        <v>163</v>
      </c>
      <c r="F157" s="3" t="s">
        <v>19</v>
      </c>
      <c r="G157" s="3" t="s">
        <v>408</v>
      </c>
      <c r="H157" s="13" t="s">
        <v>13</v>
      </c>
      <c r="I157" s="13" t="s">
        <v>13</v>
      </c>
      <c r="J157" s="13" t="s">
        <v>21</v>
      </c>
      <c r="K157" s="16" t="str">
        <f t="shared" si="2"/>
        <v>- 공유메모리 접근, 오디오 볼륨 변경 구현</v>
      </c>
    </row>
    <row r="158" spans="2:11" x14ac:dyDescent="0.45">
      <c r="B158" s="76"/>
      <c r="C158" s="88"/>
      <c r="D158" s="4" t="str">
        <f>IF(COUNTA(E158),_xlfn.CONCAT("SW-FW-UnitTest-CM3-ID-",COUNTA(E$91:E158)),"")</f>
        <v>SW-FW-UnitTest-CM3-ID-68</v>
      </c>
      <c r="E158" s="3" t="s">
        <v>164</v>
      </c>
      <c r="F158" s="3" t="s">
        <v>19</v>
      </c>
      <c r="G158" s="3" t="s">
        <v>409</v>
      </c>
      <c r="H158" s="13" t="s">
        <v>13</v>
      </c>
      <c r="I158" s="13" t="s">
        <v>13</v>
      </c>
      <c r="J158" s="13" t="s">
        <v>21</v>
      </c>
      <c r="K158" s="16" t="str">
        <f t="shared" ref="K158:K162" si="3">_xlfn.CONCAT("- ", E158, " 구현")</f>
        <v>- 공유메모리 접근, 오디오 볼륨 읽기 구현</v>
      </c>
    </row>
    <row r="159" spans="2:11" x14ac:dyDescent="0.45">
      <c r="B159" s="76"/>
      <c r="C159" s="88"/>
      <c r="D159" s="4" t="str">
        <f>IF(COUNTA(E159),_xlfn.CONCAT("SW-FW-UnitTest-CM3-ID-",COUNTA(E$91:E159)),"")</f>
        <v>SW-FW-UnitTest-CM3-ID-69</v>
      </c>
      <c r="E159" s="3" t="s">
        <v>165</v>
      </c>
      <c r="F159" s="3" t="s">
        <v>19</v>
      </c>
      <c r="G159" s="3" t="s">
        <v>410</v>
      </c>
      <c r="H159" s="13" t="s">
        <v>13</v>
      </c>
      <c r="I159" s="13" t="s">
        <v>13</v>
      </c>
      <c r="J159" s="13" t="s">
        <v>21</v>
      </c>
      <c r="K159" s="16" t="str">
        <f t="shared" si="3"/>
        <v>- 공유메모리 접근, LED 알림 설정 변경 구현</v>
      </c>
    </row>
    <row r="160" spans="2:11" x14ac:dyDescent="0.45">
      <c r="B160" s="76"/>
      <c r="C160" s="88"/>
      <c r="D160" s="4" t="str">
        <f>IF(COUNTA(E160),_xlfn.CONCAT("SW-FW-UnitTest-CM3-ID-",COUNTA(E$91:E160)),"")</f>
        <v>SW-FW-UnitTest-CM3-ID-70</v>
      </c>
      <c r="E160" s="3" t="s">
        <v>166</v>
      </c>
      <c r="F160" s="3" t="s">
        <v>19</v>
      </c>
      <c r="G160" s="3" t="s">
        <v>411</v>
      </c>
      <c r="H160" s="13" t="s">
        <v>13</v>
      </c>
      <c r="I160" s="13" t="s">
        <v>13</v>
      </c>
      <c r="J160" s="13" t="s">
        <v>21</v>
      </c>
      <c r="K160" s="16" t="str">
        <f t="shared" si="3"/>
        <v>- 공유메모리 접근, LED 알림 설정 읽기 구현</v>
      </c>
    </row>
    <row r="161" spans="2:11" x14ac:dyDescent="0.45">
      <c r="B161" s="76"/>
      <c r="C161" s="88"/>
      <c r="D161" s="4" t="str">
        <f>IF(COUNTA(E161),_xlfn.CONCAT("SW-FW-UnitTest-CM3-ID-",COUNTA(E$91:E161)),"")</f>
        <v>SW-FW-UnitTest-CM3-ID-71</v>
      </c>
      <c r="E161" s="3" t="s">
        <v>168</v>
      </c>
      <c r="F161" s="3" t="s">
        <v>19</v>
      </c>
      <c r="G161" s="3" t="s">
        <v>412</v>
      </c>
      <c r="H161" s="13" t="s">
        <v>13</v>
      </c>
      <c r="I161" s="13" t="s">
        <v>13</v>
      </c>
      <c r="J161" s="13" t="s">
        <v>21</v>
      </c>
      <c r="K161" s="16" t="str">
        <f t="shared" si="3"/>
        <v>- 공유메모리 접근, 자극 알림 설정 변경 구현</v>
      </c>
    </row>
    <row r="162" spans="2:11" x14ac:dyDescent="0.45">
      <c r="B162" s="76"/>
      <c r="C162" s="88"/>
      <c r="D162" s="4" t="str">
        <f>IF(COUNTA(E162),_xlfn.CONCAT("SW-FW-UnitTest-CM3-ID-",COUNTA(E$91:E162)),"")</f>
        <v>SW-FW-UnitTest-CM3-ID-72</v>
      </c>
      <c r="E162" s="3" t="s">
        <v>167</v>
      </c>
      <c r="F162" s="3" t="s">
        <v>19</v>
      </c>
      <c r="G162" s="3" t="s">
        <v>413</v>
      </c>
      <c r="H162" s="13" t="s">
        <v>13</v>
      </c>
      <c r="I162" s="13" t="s">
        <v>13</v>
      </c>
      <c r="J162" s="13" t="s">
        <v>21</v>
      </c>
      <c r="K162" s="16" t="str">
        <f t="shared" si="3"/>
        <v>- 공유메모리 접근, 자극 알림 설정 읽기 구현</v>
      </c>
    </row>
    <row r="163" spans="2:11" x14ac:dyDescent="0.45">
      <c r="B163" s="76"/>
      <c r="C163" s="88"/>
      <c r="D163" s="4" t="str">
        <f>IF(COUNTA(E163),_xlfn.CONCAT("SW-FW-UnitTest-CM3-ID-",COUNTA(E$91:E163)),"")</f>
        <v>SW-FW-UnitTest-CM3-ID-73</v>
      </c>
      <c r="E163" s="3" t="s">
        <v>235</v>
      </c>
      <c r="F163" s="3" t="s">
        <v>19</v>
      </c>
      <c r="G163" s="3" t="s">
        <v>414</v>
      </c>
      <c r="H163" s="13" t="s">
        <v>13</v>
      </c>
      <c r="I163" s="13" t="s">
        <v>13</v>
      </c>
      <c r="J163" s="13" t="s">
        <v>21</v>
      </c>
      <c r="K163" s="16" t="str">
        <f>_xlfn.CONCAT("- ", E163, " 구현")</f>
        <v>- I2C 데이터 쓰기 시작 구현</v>
      </c>
    </row>
    <row r="164" spans="2:11" x14ac:dyDescent="0.45">
      <c r="B164" s="76"/>
      <c r="C164" s="88"/>
      <c r="D164" s="4" t="str">
        <f>IF(COUNTA(E164),_xlfn.CONCAT("SW-FW-UnitTest-CM3-ID-",COUNTA(E$91:E164)),"")</f>
        <v>SW-FW-UnitTest-CM3-ID-74</v>
      </c>
      <c r="E164" s="3" t="s">
        <v>236</v>
      </c>
      <c r="F164" s="3" t="s">
        <v>19</v>
      </c>
      <c r="G164" s="3" t="s">
        <v>415</v>
      </c>
      <c r="H164" s="13" t="s">
        <v>13</v>
      </c>
      <c r="I164" s="13" t="s">
        <v>13</v>
      </c>
      <c r="J164" s="13" t="s">
        <v>21</v>
      </c>
      <c r="K164" s="16" t="str">
        <f t="shared" ref="K164:K169" si="4">_xlfn.CONCAT("- ", E164, " 구현")</f>
        <v>- I2C 데이터 읽기 시작 구현</v>
      </c>
    </row>
    <row r="165" spans="2:11" x14ac:dyDescent="0.45">
      <c r="B165" s="76"/>
      <c r="C165" s="88"/>
      <c r="D165" s="4" t="str">
        <f>IF(COUNTA(E165),_xlfn.CONCAT("SW-FW-UnitTest-CM3-ID-",COUNTA(E$91:E165)),"")</f>
        <v>SW-FW-UnitTest-CM3-ID-75</v>
      </c>
      <c r="E165" s="3" t="s">
        <v>169</v>
      </c>
      <c r="F165" s="3" t="s">
        <v>19</v>
      </c>
      <c r="G165" s="3" t="s">
        <v>416</v>
      </c>
      <c r="H165" s="13" t="s">
        <v>13</v>
      </c>
      <c r="I165" s="13" t="s">
        <v>13</v>
      </c>
      <c r="J165" s="13" t="s">
        <v>21</v>
      </c>
      <c r="K165" s="16" t="str">
        <f t="shared" si="4"/>
        <v>- I2C 드라이버 상태 읽기 구현</v>
      </c>
    </row>
    <row r="166" spans="2:11" x14ac:dyDescent="0.45">
      <c r="B166" s="76"/>
      <c r="C166" s="88"/>
      <c r="D166" s="4" t="str">
        <f>IF(COUNTA(E166),_xlfn.CONCAT("SW-FW-UnitTest-CM3-ID-",COUNTA(E$91:E166)),"")</f>
        <v>SW-FW-UnitTest-CM3-ID-76</v>
      </c>
      <c r="E166" s="3" t="s">
        <v>215</v>
      </c>
      <c r="F166" s="3" t="s">
        <v>19</v>
      </c>
      <c r="G166" s="3" t="s">
        <v>417</v>
      </c>
      <c r="H166" s="13" t="s">
        <v>13</v>
      </c>
      <c r="I166" s="13" t="s">
        <v>13</v>
      </c>
      <c r="J166" s="13" t="s">
        <v>21</v>
      </c>
      <c r="K166" s="16" t="str">
        <f t="shared" si="4"/>
        <v>- SPI 송신 데이터 쓰기 구현</v>
      </c>
    </row>
    <row r="167" spans="2:11" x14ac:dyDescent="0.45">
      <c r="B167" s="76"/>
      <c r="C167" s="88"/>
      <c r="D167" s="4" t="str">
        <f>IF(COUNTA(E167),_xlfn.CONCAT("SW-FW-UnitTest-CM3-ID-",COUNTA(E$91:E167)),"")</f>
        <v>SW-FW-UnitTest-CM3-ID-77</v>
      </c>
      <c r="E167" s="3" t="s">
        <v>182</v>
      </c>
      <c r="F167" s="3" t="s">
        <v>19</v>
      </c>
      <c r="G167" s="3" t="s">
        <v>418</v>
      </c>
      <c r="H167" s="13" t="s">
        <v>13</v>
      </c>
      <c r="I167" s="13" t="s">
        <v>13</v>
      </c>
      <c r="J167" s="13" t="s">
        <v>21</v>
      </c>
      <c r="K167" s="16" t="str">
        <f t="shared" si="4"/>
        <v>- SPI 송신 데이터 준비 완료 전달 구현</v>
      </c>
    </row>
    <row r="168" spans="2:11" x14ac:dyDescent="0.45">
      <c r="B168" s="76"/>
      <c r="C168" s="88"/>
      <c r="D168" s="4" t="str">
        <f>IF(COUNTA(E168),_xlfn.CONCAT("SW-FW-UnitTest-CM3-ID-",COUNTA(E$91:E168)),"")</f>
        <v>SW-FW-UnitTest-CM3-ID-78</v>
      </c>
      <c r="E168" s="3" t="s">
        <v>183</v>
      </c>
      <c r="F168" s="3" t="s">
        <v>19</v>
      </c>
      <c r="G168" s="3" t="s">
        <v>419</v>
      </c>
      <c r="H168" s="13" t="s">
        <v>13</v>
      </c>
      <c r="I168" s="13" t="s">
        <v>13</v>
      </c>
      <c r="J168" s="13" t="s">
        <v>21</v>
      </c>
      <c r="K168" s="16" t="str">
        <f t="shared" si="4"/>
        <v>- SPI 송신 완료 전달 구현</v>
      </c>
    </row>
    <row r="169" spans="2:11" x14ac:dyDescent="0.45">
      <c r="B169" s="76"/>
      <c r="C169" s="12" t="s">
        <v>221</v>
      </c>
      <c r="D169" s="4" t="str">
        <f>IF(COUNTA(E169),_xlfn.CONCAT("SW-FW-UnitTest-CM3-ID-",COUNTA(E$91:E169)),"")</f>
        <v>SW-FW-UnitTest-CM3-ID-79</v>
      </c>
      <c r="E169" s="3" t="s">
        <v>237</v>
      </c>
      <c r="F169" s="3" t="s">
        <v>19</v>
      </c>
      <c r="G169" s="3" t="s">
        <v>420</v>
      </c>
      <c r="H169" s="13" t="s">
        <v>13</v>
      </c>
      <c r="I169" s="13" t="s">
        <v>13</v>
      </c>
      <c r="J169" s="13" t="s">
        <v>21</v>
      </c>
      <c r="K169" s="16" t="str">
        <f t="shared" si="4"/>
        <v>- 자극 DAC 선택 및 C ,T 레벨 계산  구현</v>
      </c>
    </row>
    <row r="170" spans="2:11" x14ac:dyDescent="0.45">
      <c r="B170" s="76"/>
      <c r="C170" s="88" t="s">
        <v>97</v>
      </c>
      <c r="D170" s="4" t="str">
        <f>IF(COUNTA(E170),_xlfn.CONCAT("SW-FW-UnitTest-CM3-ID-",COUNTA(E$91:E170)),"")</f>
        <v>SW-FW-UnitTest-CM3-ID-80</v>
      </c>
      <c r="E170" s="3" t="s">
        <v>173</v>
      </c>
      <c r="F170" s="3" t="s">
        <v>19</v>
      </c>
      <c r="G170" s="3" t="s">
        <v>421</v>
      </c>
      <c r="H170" s="13" t="s">
        <v>13</v>
      </c>
      <c r="I170" s="13" t="s">
        <v>13</v>
      </c>
      <c r="J170" s="13" t="s">
        <v>21</v>
      </c>
      <c r="K170" s="16" t="str">
        <f>_xlfn.CONCAT("- ", E170, " 구현")</f>
        <v>- I2C 사용 가능 업데이트  구현</v>
      </c>
    </row>
    <row r="171" spans="2:11" x14ac:dyDescent="0.45">
      <c r="B171" s="76"/>
      <c r="C171" s="88"/>
      <c r="D171" s="4" t="str">
        <f>IF(COUNTA(E171),_xlfn.CONCAT("SW-FW-UnitTest-CM3-ID-",COUNTA(E$91:E171)),"")</f>
        <v>SW-FW-UnitTest-CM3-ID-81</v>
      </c>
      <c r="E171" s="3" t="s">
        <v>175</v>
      </c>
      <c r="F171" s="3" t="s">
        <v>19</v>
      </c>
      <c r="G171" s="3" t="s">
        <v>422</v>
      </c>
      <c r="H171" s="13" t="s">
        <v>13</v>
      </c>
      <c r="I171" s="13" t="s">
        <v>13</v>
      </c>
      <c r="J171" s="13" t="s">
        <v>21</v>
      </c>
      <c r="K171" s="16" t="str">
        <f t="shared" ref="K171:K207" si="5">_xlfn.CONCAT("- ", E171, " 구현")</f>
        <v>- I2C 사용 불가능 업데이트 구현</v>
      </c>
    </row>
    <row r="172" spans="2:11" x14ac:dyDescent="0.45">
      <c r="B172" s="76"/>
      <c r="C172" s="88"/>
      <c r="D172" s="4" t="str">
        <f>IF(COUNTA(E172),_xlfn.CONCAT("SW-FW-UnitTest-CM3-ID-",COUNTA(E$91:E172)),"")</f>
        <v>SW-FW-UnitTest-CM3-ID-82</v>
      </c>
      <c r="E172" s="3" t="s">
        <v>176</v>
      </c>
      <c r="F172" s="3" t="s">
        <v>19</v>
      </c>
      <c r="G172" s="3" t="s">
        <v>423</v>
      </c>
      <c r="H172" s="13" t="s">
        <v>13</v>
      </c>
      <c r="I172" s="13" t="s">
        <v>13</v>
      </c>
      <c r="J172" s="13" t="s">
        <v>21</v>
      </c>
      <c r="K172" s="16" t="str">
        <f t="shared" si="5"/>
        <v>- I2C 사용 가능 상태 읽기 구현</v>
      </c>
    </row>
    <row r="173" spans="2:11" x14ac:dyDescent="0.45">
      <c r="B173" s="76"/>
      <c r="C173" s="88"/>
      <c r="D173" s="4" t="str">
        <f>IF(COUNTA(E173),_xlfn.CONCAT("SW-FW-UnitTest-CM3-ID-",COUNTA(E$91:E173)),"")</f>
        <v>SW-FW-UnitTest-CM3-ID-83</v>
      </c>
      <c r="E173" s="3" t="s">
        <v>177</v>
      </c>
      <c r="F173" s="3" t="s">
        <v>19</v>
      </c>
      <c r="G173" s="3" t="s">
        <v>424</v>
      </c>
      <c r="H173" s="13" t="s">
        <v>13</v>
      </c>
      <c r="I173" s="13" t="s">
        <v>13</v>
      </c>
      <c r="J173" s="13" t="s">
        <v>21</v>
      </c>
      <c r="K173" s="16" t="str">
        <f t="shared" si="5"/>
        <v>- PMIC 레지스터 쓰기 구현</v>
      </c>
    </row>
    <row r="174" spans="2:11" x14ac:dyDescent="0.45">
      <c r="B174" s="76"/>
      <c r="C174" s="88"/>
      <c r="D174" s="4" t="str">
        <f>IF(COUNTA(E174),_xlfn.CONCAT("SW-FW-UnitTest-CM3-ID-",COUNTA(E$91:E174)),"")</f>
        <v>SW-FW-UnitTest-CM3-ID-84</v>
      </c>
      <c r="E174" s="3" t="s">
        <v>178</v>
      </c>
      <c r="F174" s="3" t="s">
        <v>19</v>
      </c>
      <c r="G174" s="3" t="s">
        <v>425</v>
      </c>
      <c r="H174" s="13" t="s">
        <v>13</v>
      </c>
      <c r="I174" s="13" t="s">
        <v>13</v>
      </c>
      <c r="J174" s="13" t="s">
        <v>21</v>
      </c>
      <c r="K174" s="16" t="str">
        <f t="shared" si="5"/>
        <v>- PMIC 레지스터 읽기 구현</v>
      </c>
    </row>
    <row r="175" spans="2:11" x14ac:dyDescent="0.45">
      <c r="B175" s="76"/>
      <c r="C175" s="88"/>
      <c r="D175" s="4" t="str">
        <f>IF(COUNTA(E175),_xlfn.CONCAT("SW-FW-UnitTest-CM3-ID-",COUNTA(E$91:E175)),"")</f>
        <v>SW-FW-UnitTest-CM3-ID-85</v>
      </c>
      <c r="E175" s="3" t="s">
        <v>179</v>
      </c>
      <c r="F175" s="3" t="s">
        <v>19</v>
      </c>
      <c r="G175" s="3" t="s">
        <v>426</v>
      </c>
      <c r="H175" s="13" t="s">
        <v>13</v>
      </c>
      <c r="I175" s="13" t="s">
        <v>13</v>
      </c>
      <c r="J175" s="13" t="s">
        <v>21</v>
      </c>
      <c r="K175" s="16" t="str">
        <f t="shared" si="5"/>
        <v>- FPGA 레지스터 쓰기 구현</v>
      </c>
    </row>
    <row r="176" spans="2:11" x14ac:dyDescent="0.45">
      <c r="B176" s="76"/>
      <c r="C176" s="88"/>
      <c r="D176" s="4" t="str">
        <f>IF(COUNTA(E176),_xlfn.CONCAT("SW-FW-UnitTest-CM3-ID-",COUNTA(E$91:E176)),"")</f>
        <v>SW-FW-UnitTest-CM3-ID-86</v>
      </c>
      <c r="E176" s="3" t="s">
        <v>180</v>
      </c>
      <c r="F176" s="3" t="s">
        <v>19</v>
      </c>
      <c r="G176" s="3" t="s">
        <v>427</v>
      </c>
      <c r="H176" s="13" t="s">
        <v>13</v>
      </c>
      <c r="I176" s="13" t="s">
        <v>13</v>
      </c>
      <c r="J176" s="13" t="s">
        <v>21</v>
      </c>
      <c r="K176" s="16" t="str">
        <f t="shared" si="5"/>
        <v>- FPGA 레지스터 읽기 구현</v>
      </c>
    </row>
    <row r="177" spans="2:11" x14ac:dyDescent="0.45">
      <c r="B177" s="76"/>
      <c r="C177" s="88"/>
      <c r="D177" s="4" t="str">
        <f>IF(COUNTA(E177),_xlfn.CONCAT("SW-FW-UnitTest-CM3-ID-",COUNTA(E$91:E177)),"")</f>
        <v>SW-FW-UnitTest-CM3-ID-87</v>
      </c>
      <c r="E177" s="3" t="s">
        <v>181</v>
      </c>
      <c r="F177" s="3" t="s">
        <v>19</v>
      </c>
      <c r="G177" s="3" t="s">
        <v>428</v>
      </c>
      <c r="H177" s="13" t="s">
        <v>13</v>
      </c>
      <c r="I177" s="13" t="s">
        <v>13</v>
      </c>
      <c r="J177" s="13" t="s">
        <v>21</v>
      </c>
      <c r="K177" s="16" t="str">
        <f t="shared" si="5"/>
        <v>- FPGA FIFO 읽기 구현</v>
      </c>
    </row>
    <row r="178" spans="2:11" x14ac:dyDescent="0.45">
      <c r="B178" s="76"/>
      <c r="C178" s="88"/>
      <c r="D178" s="4" t="str">
        <f>IF(COUNTA(E178),_xlfn.CONCAT("SW-FW-UnitTest-CM3-ID-",COUNTA(E$91:E178)),"")</f>
        <v>SW-FW-UnitTest-CM3-ID-88</v>
      </c>
      <c r="E178" s="3" t="s">
        <v>185</v>
      </c>
      <c r="F178" s="3" t="s">
        <v>19</v>
      </c>
      <c r="G178" s="3" t="s">
        <v>429</v>
      </c>
      <c r="H178" s="13" t="s">
        <v>13</v>
      </c>
      <c r="I178" s="13" t="s">
        <v>13</v>
      </c>
      <c r="J178" s="13" t="s">
        <v>21</v>
      </c>
      <c r="K178" s="16" t="str">
        <f t="shared" si="5"/>
        <v>- 내부기 제어 상태 변경 구현</v>
      </c>
    </row>
    <row r="179" spans="2:11" x14ac:dyDescent="0.45">
      <c r="B179" s="76"/>
      <c r="C179" s="88"/>
      <c r="D179" s="4" t="str">
        <f>IF(COUNTA(E179),_xlfn.CONCAT("SW-FW-UnitTest-CM3-ID-",COUNTA(E$91:E179)),"")</f>
        <v>SW-FW-UnitTest-CM3-ID-89</v>
      </c>
      <c r="E179" s="3" t="s">
        <v>184</v>
      </c>
      <c r="F179" s="3" t="s">
        <v>19</v>
      </c>
      <c r="G179" s="3" t="s">
        <v>430</v>
      </c>
      <c r="H179" s="13" t="s">
        <v>13</v>
      </c>
      <c r="I179" s="13" t="s">
        <v>13</v>
      </c>
      <c r="J179" s="13" t="s">
        <v>21</v>
      </c>
      <c r="K179" s="16" t="str">
        <f t="shared" si="5"/>
        <v>- 내부기 제어 상태 변경 플래그 삭제 구현</v>
      </c>
    </row>
    <row r="180" spans="2:11" x14ac:dyDescent="0.45">
      <c r="B180" s="76"/>
      <c r="C180" s="88"/>
      <c r="D180" s="4" t="str">
        <f>IF(COUNTA(E180),_xlfn.CONCAT("SW-FW-UnitTest-CM3-ID-",COUNTA(E$91:E180)),"")</f>
        <v>SW-FW-UnitTest-CM3-ID-90</v>
      </c>
      <c r="E180" s="3" t="s">
        <v>186</v>
      </c>
      <c r="F180" s="3" t="s">
        <v>19</v>
      </c>
      <c r="G180" s="3" t="s">
        <v>431</v>
      </c>
      <c r="H180" s="13" t="s">
        <v>13</v>
      </c>
      <c r="I180" s="13" t="s">
        <v>13</v>
      </c>
      <c r="J180" s="13" t="s">
        <v>21</v>
      </c>
      <c r="K180" s="16" t="str">
        <f t="shared" si="5"/>
        <v>- Tx PMIC 초기화 구현</v>
      </c>
    </row>
    <row r="181" spans="2:11" x14ac:dyDescent="0.45">
      <c r="B181" s="76"/>
      <c r="C181" s="88"/>
      <c r="D181" s="4" t="str">
        <f>IF(COUNTA(E181),_xlfn.CONCAT("SW-FW-UnitTest-CM3-ID-",COUNTA(E$91:E181)),"")</f>
        <v>SW-FW-UnitTest-CM3-ID-91</v>
      </c>
      <c r="E181" s="3" t="s">
        <v>187</v>
      </c>
      <c r="F181" s="3" t="s">
        <v>19</v>
      </c>
      <c r="G181" s="3" t="s">
        <v>432</v>
      </c>
      <c r="H181" s="13" t="s">
        <v>13</v>
      </c>
      <c r="I181" s="13" t="s">
        <v>13</v>
      </c>
      <c r="J181" s="13" t="s">
        <v>21</v>
      </c>
      <c r="K181" s="16" t="str">
        <f t="shared" si="5"/>
        <v>- FPGA 초기화 구현</v>
      </c>
    </row>
    <row r="182" spans="2:11" x14ac:dyDescent="0.45">
      <c r="B182" s="76"/>
      <c r="C182" s="88"/>
      <c r="D182" s="4" t="str">
        <f>IF(COUNTA(E182),_xlfn.CONCAT("SW-FW-UnitTest-CM3-ID-",COUNTA(E$91:E182)),"")</f>
        <v>SW-FW-UnitTest-CM3-ID-92</v>
      </c>
      <c r="E182" s="3" t="s">
        <v>188</v>
      </c>
      <c r="F182" s="3" t="s">
        <v>19</v>
      </c>
      <c r="G182" s="3" t="s">
        <v>433</v>
      </c>
      <c r="H182" s="13" t="s">
        <v>13</v>
      </c>
      <c r="I182" s="13" t="s">
        <v>13</v>
      </c>
      <c r="J182" s="13" t="s">
        <v>21</v>
      </c>
      <c r="K182" s="16" t="str">
        <f t="shared" si="5"/>
        <v>- 내부기 초기화 구현</v>
      </c>
    </row>
    <row r="183" spans="2:11" x14ac:dyDescent="0.45">
      <c r="B183" s="76"/>
      <c r="C183" s="88"/>
      <c r="D183" s="4" t="str">
        <f>IF(COUNTA(E183),_xlfn.CONCAT("SW-FW-UnitTest-CM3-ID-",COUNTA(E$91:E183)),"")</f>
        <v>SW-FW-UnitTest-CM3-ID-93</v>
      </c>
      <c r="E183" s="3" t="s">
        <v>189</v>
      </c>
      <c r="F183" s="3" t="s">
        <v>19</v>
      </c>
      <c r="G183" s="3" t="s">
        <v>434</v>
      </c>
      <c r="H183" s="13" t="s">
        <v>13</v>
      </c>
      <c r="I183" s="13" t="s">
        <v>13</v>
      </c>
      <c r="J183" s="13" t="s">
        <v>21</v>
      </c>
      <c r="K183" s="16" t="str">
        <f t="shared" si="5"/>
        <v>- 내부기 통신 통로 확보 구현</v>
      </c>
    </row>
    <row r="184" spans="2:11" x14ac:dyDescent="0.45">
      <c r="B184" s="76"/>
      <c r="C184" s="88"/>
      <c r="D184" s="4" t="str">
        <f>IF(COUNTA(E184),_xlfn.CONCAT("SW-FW-UnitTest-CM3-ID-",COUNTA(E$91:E184)),"")</f>
        <v>SW-FW-UnitTest-CM3-ID-94</v>
      </c>
      <c r="E184" s="3" t="s">
        <v>190</v>
      </c>
      <c r="F184" s="3" t="s">
        <v>19</v>
      </c>
      <c r="G184" s="3" t="s">
        <v>435</v>
      </c>
      <c r="H184" s="13" t="s">
        <v>13</v>
      </c>
      <c r="I184" s="13" t="s">
        <v>13</v>
      </c>
      <c r="J184" s="13" t="s">
        <v>21</v>
      </c>
      <c r="K184" s="16" t="str">
        <f t="shared" si="5"/>
        <v>- 내부기 자극용 10v 활성화 구현</v>
      </c>
    </row>
    <row r="185" spans="2:11" x14ac:dyDescent="0.45">
      <c r="B185" s="76"/>
      <c r="C185" s="88"/>
      <c r="D185" s="4" t="str">
        <f>IF(COUNTA(E185),_xlfn.CONCAT("SW-FW-UnitTest-CM3-ID-",COUNTA(E$91:E185)),"")</f>
        <v>SW-FW-UnitTest-CM3-ID-95</v>
      </c>
      <c r="E185" s="3" t="s">
        <v>238</v>
      </c>
      <c r="F185" s="3" t="s">
        <v>19</v>
      </c>
      <c r="G185" s="3" t="s">
        <v>436</v>
      </c>
      <c r="H185" s="13" t="s">
        <v>13</v>
      </c>
      <c r="I185" s="13" t="s">
        <v>13</v>
      </c>
      <c r="J185" s="13" t="s">
        <v>21</v>
      </c>
      <c r="K185" s="16" t="str">
        <f t="shared" si="5"/>
        <v>- 내부기 자극 출력 제어  구현</v>
      </c>
    </row>
    <row r="186" spans="2:11" x14ac:dyDescent="0.45">
      <c r="B186" s="76"/>
      <c r="C186" s="88"/>
      <c r="D186" s="4" t="str">
        <f>IF(COUNTA(E186),_xlfn.CONCAT("SW-FW-UnitTest-CM3-ID-",COUNTA(E$91:E186)),"")</f>
        <v>SW-FW-UnitTest-CM3-ID-96</v>
      </c>
      <c r="E186" s="3" t="s">
        <v>201</v>
      </c>
      <c r="F186" s="3" t="s">
        <v>19</v>
      </c>
      <c r="G186" s="3" t="s">
        <v>437</v>
      </c>
      <c r="H186" s="13" t="s">
        <v>13</v>
      </c>
      <c r="I186" s="13" t="s">
        <v>13</v>
      </c>
      <c r="J186" s="13" t="s">
        <v>21</v>
      </c>
      <c r="K186" s="16" t="str">
        <f t="shared" si="5"/>
        <v>- 내부기 자극 파라미터 설정 구현</v>
      </c>
    </row>
    <row r="187" spans="2:11" x14ac:dyDescent="0.45">
      <c r="B187" s="76"/>
      <c r="C187" s="88"/>
      <c r="D187" s="4" t="str">
        <f>IF(COUNTA(E187),_xlfn.CONCAT("SW-FW-UnitTest-CM3-ID-",COUNTA(E$91:E187)),"")</f>
        <v>SW-FW-UnitTest-CM3-ID-97</v>
      </c>
      <c r="E187" s="3" t="s">
        <v>200</v>
      </c>
      <c r="F187" s="3" t="s">
        <v>19</v>
      </c>
      <c r="G187" s="3" t="s">
        <v>438</v>
      </c>
      <c r="H187" s="13" t="s">
        <v>13</v>
      </c>
      <c r="I187" s="13" t="s">
        <v>13</v>
      </c>
      <c r="J187" s="13" t="s">
        <v>21</v>
      </c>
      <c r="K187" s="16" t="str">
        <f t="shared" si="5"/>
        <v>- 내부기 연결 확인(실시간 자극)  구현</v>
      </c>
    </row>
    <row r="188" spans="2:11" x14ac:dyDescent="0.45">
      <c r="B188" s="76"/>
      <c r="C188" s="88"/>
      <c r="D188" s="4" t="str">
        <f>IF(COUNTA(E188),_xlfn.CONCAT("SW-FW-UnitTest-CM3-ID-",COUNTA(E$91:E188)),"")</f>
        <v>SW-FW-UnitTest-CM3-ID-98</v>
      </c>
      <c r="E188" s="3" t="s">
        <v>199</v>
      </c>
      <c r="F188" s="3" t="s">
        <v>19</v>
      </c>
      <c r="G188" s="3" t="s">
        <v>439</v>
      </c>
      <c r="H188" s="13" t="s">
        <v>13</v>
      </c>
      <c r="I188" s="13" t="s">
        <v>13</v>
      </c>
      <c r="J188" s="13" t="s">
        <v>21</v>
      </c>
      <c r="K188" s="16" t="str">
        <f t="shared" si="5"/>
        <v>- 내부기 연결 확인(매핑 연결)  구현</v>
      </c>
    </row>
    <row r="189" spans="2:11" x14ac:dyDescent="0.45">
      <c r="B189" s="76"/>
      <c r="C189" s="88" t="s">
        <v>204</v>
      </c>
      <c r="D189" s="4" t="str">
        <f>IF(COUNTA(E189),_xlfn.CONCAT("SW-FW-UnitTest-CM3-ID-",COUNTA(E$91:E189)),"")</f>
        <v>SW-FW-UnitTest-CM3-ID-99</v>
      </c>
      <c r="E189" s="3" t="s">
        <v>192</v>
      </c>
      <c r="F189" s="3" t="s">
        <v>19</v>
      </c>
      <c r="G189" s="3" t="s">
        <v>440</v>
      </c>
      <c r="H189" s="13" t="s">
        <v>13</v>
      </c>
      <c r="I189" s="13" t="s">
        <v>13</v>
      </c>
      <c r="J189" s="13" t="s">
        <v>21</v>
      </c>
      <c r="K189" s="16" t="str">
        <f t="shared" si="5"/>
        <v>- BLE 설정 수신 데이터 인출 구현</v>
      </c>
    </row>
    <row r="190" spans="2:11" x14ac:dyDescent="0.45">
      <c r="B190" s="76"/>
      <c r="C190" s="88"/>
      <c r="D190" s="4" t="str">
        <f>IF(COUNTA(E190),_xlfn.CONCAT("SW-FW-UnitTest-CM3-ID-",COUNTA(E$91:E190)),"")</f>
        <v>SW-FW-UnitTest-CM3-ID-100</v>
      </c>
      <c r="E190" s="3" t="s">
        <v>203</v>
      </c>
      <c r="F190" s="3" t="s">
        <v>19</v>
      </c>
      <c r="G190" s="3" t="s">
        <v>441</v>
      </c>
      <c r="H190" s="13" t="s">
        <v>13</v>
      </c>
      <c r="I190" s="13" t="s">
        <v>13</v>
      </c>
      <c r="J190" s="13" t="s">
        <v>21</v>
      </c>
      <c r="K190" s="16" t="str">
        <f t="shared" si="5"/>
        <v>- 리모콘 수신 데이터 인출 구현</v>
      </c>
    </row>
    <row r="191" spans="2:11" x14ac:dyDescent="0.45">
      <c r="B191" s="76"/>
      <c r="C191" s="88"/>
      <c r="D191" s="4" t="str">
        <f>IF(COUNTA(E191),_xlfn.CONCAT("SW-FW-UnitTest-CM3-ID-",COUNTA(E$91:E191)),"")</f>
        <v>SW-FW-UnitTest-CM3-ID-101</v>
      </c>
      <c r="E191" s="3" t="s">
        <v>193</v>
      </c>
      <c r="F191" s="3" t="s">
        <v>19</v>
      </c>
      <c r="G191" s="3" t="s">
        <v>442</v>
      </c>
      <c r="H191" s="13" t="s">
        <v>13</v>
      </c>
      <c r="I191" s="13" t="s">
        <v>13</v>
      </c>
      <c r="J191" s="13" t="s">
        <v>21</v>
      </c>
      <c r="K191" s="16" t="str">
        <f t="shared" si="5"/>
        <v>- 매핑 수신 데이터 인출 구현</v>
      </c>
    </row>
    <row r="192" spans="2:11" x14ac:dyDescent="0.45">
      <c r="B192" s="76"/>
      <c r="C192" s="88"/>
      <c r="D192" s="4" t="str">
        <f>IF(COUNTA(E192),_xlfn.CONCAT("SW-FW-UnitTest-CM3-ID-",COUNTA(E$91:E192)),"")</f>
        <v>SW-FW-UnitTest-CM3-ID-102</v>
      </c>
      <c r="E192" s="3" t="s">
        <v>194</v>
      </c>
      <c r="F192" s="3" t="s">
        <v>19</v>
      </c>
      <c r="G192" s="3" t="s">
        <v>443</v>
      </c>
      <c r="H192" s="13" t="s">
        <v>13</v>
      </c>
      <c r="I192" s="13" t="s">
        <v>13</v>
      </c>
      <c r="J192" s="13" t="s">
        <v>21</v>
      </c>
      <c r="K192" s="16" t="str">
        <f t="shared" si="5"/>
        <v>- 블루투스 광고 이름 설정  구현</v>
      </c>
    </row>
    <row r="193" spans="2:11" x14ac:dyDescent="0.45">
      <c r="B193" s="76"/>
      <c r="C193" s="88"/>
      <c r="D193" s="4" t="str">
        <f>IF(COUNTA(E193),_xlfn.CONCAT("SW-FW-UnitTest-CM3-ID-",COUNTA(E$91:E193)),"")</f>
        <v>SW-FW-UnitTest-CM3-ID-103</v>
      </c>
      <c r="E193" s="3" t="s">
        <v>195</v>
      </c>
      <c r="F193" s="3" t="s">
        <v>19</v>
      </c>
      <c r="G193" s="3" t="s">
        <v>444</v>
      </c>
      <c r="H193" s="13" t="s">
        <v>13</v>
      </c>
      <c r="I193" s="13" t="s">
        <v>13</v>
      </c>
      <c r="J193" s="13" t="s">
        <v>21</v>
      </c>
      <c r="K193" s="16" t="str">
        <f t="shared" si="5"/>
        <v>- 리모콘 제어  구현</v>
      </c>
    </row>
    <row r="194" spans="2:11" x14ac:dyDescent="0.45">
      <c r="B194" s="76"/>
      <c r="C194" s="88"/>
      <c r="D194" s="4" t="str">
        <f>IF(COUNTA(E194),_xlfn.CONCAT("SW-FW-UnitTest-CM3-ID-",COUNTA(E$91:E194)),"")</f>
        <v>SW-FW-UnitTest-CM3-ID-104</v>
      </c>
      <c r="E194" s="3" t="s">
        <v>239</v>
      </c>
      <c r="F194" s="3" t="s">
        <v>19</v>
      </c>
      <c r="G194" s="3" t="s">
        <v>445</v>
      </c>
      <c r="H194" s="13" t="s">
        <v>13</v>
      </c>
      <c r="I194" s="13" t="s">
        <v>13</v>
      </c>
      <c r="J194" s="13" t="s">
        <v>21</v>
      </c>
      <c r="K194" s="16" t="str">
        <f t="shared" si="5"/>
        <v>- 리모콘 명령 수행 완료 구현</v>
      </c>
    </row>
    <row r="195" spans="2:11" x14ac:dyDescent="0.45">
      <c r="B195" s="76"/>
      <c r="C195" s="88"/>
      <c r="D195" s="4" t="str">
        <f>IF(COUNTA(E195),_xlfn.CONCAT("SW-FW-UnitTest-CM3-ID-",COUNTA(E$91:E195)),"")</f>
        <v>SW-FW-UnitTest-CM3-ID-105</v>
      </c>
      <c r="E195" s="3" t="s">
        <v>197</v>
      </c>
      <c r="F195" s="3" t="s">
        <v>19</v>
      </c>
      <c r="G195" s="3" t="s">
        <v>446</v>
      </c>
      <c r="H195" s="13" t="s">
        <v>13</v>
      </c>
      <c r="I195" s="13" t="s">
        <v>13</v>
      </c>
      <c r="J195" s="13" t="s">
        <v>21</v>
      </c>
      <c r="K195" s="16" t="str">
        <f t="shared" si="5"/>
        <v>- 특정 자극 출력 구현</v>
      </c>
    </row>
    <row r="196" spans="2:11" x14ac:dyDescent="0.45">
      <c r="B196" s="76"/>
      <c r="C196" s="88"/>
      <c r="D196" s="4" t="str">
        <f>IF(COUNTA(E196),_xlfn.CONCAT("SW-FW-UnitTest-CM3-ID-",COUNTA(E$91:E196)),"")</f>
        <v>SW-FW-UnitTest-CM3-ID-106</v>
      </c>
      <c r="E196" s="3" t="s">
        <v>196</v>
      </c>
      <c r="F196" s="3" t="s">
        <v>19</v>
      </c>
      <c r="G196" s="3" t="s">
        <v>447</v>
      </c>
      <c r="H196" s="13" t="s">
        <v>13</v>
      </c>
      <c r="I196" s="13" t="s">
        <v>13</v>
      </c>
      <c r="J196" s="13" t="s">
        <v>21</v>
      </c>
      <c r="K196" s="16" t="str">
        <f t="shared" si="5"/>
        <v>- 실시간 자극 출력  구현</v>
      </c>
    </row>
    <row r="197" spans="2:11" x14ac:dyDescent="0.45">
      <c r="B197" s="76"/>
      <c r="C197" s="88"/>
      <c r="D197" s="4" t="str">
        <f>IF(COUNTA(E197),_xlfn.CONCAT("SW-FW-UnitTest-CM3-ID-",COUNTA(E$91:E197)),"")</f>
        <v>SW-FW-UnitTest-CM3-ID-107</v>
      </c>
      <c r="E197" s="3" t="s">
        <v>202</v>
      </c>
      <c r="F197" s="3" t="s">
        <v>19</v>
      </c>
      <c r="G197" s="3" t="s">
        <v>448</v>
      </c>
      <c r="H197" s="13" t="s">
        <v>13</v>
      </c>
      <c r="I197" s="13" t="s">
        <v>13</v>
      </c>
      <c r="J197" s="13" t="s">
        <v>21</v>
      </c>
      <c r="K197" s="16" t="str">
        <f t="shared" si="5"/>
        <v>- 매핑 명령 수행 완료 구현</v>
      </c>
    </row>
    <row r="198" spans="2:11" x14ac:dyDescent="0.45">
      <c r="B198" s="91" t="s">
        <v>220</v>
      </c>
      <c r="C198" s="88" t="s">
        <v>99</v>
      </c>
      <c r="D198" s="4" t="str">
        <f>IF(COUNTA(E198),_xlfn.CONCAT("SW-FW-UnitTest-NRF-ID-",COUNTA(E$198:E198)),"")</f>
        <v>SW-FW-UnitTest-NRF-ID-1</v>
      </c>
      <c r="E198" s="3" t="s">
        <v>205</v>
      </c>
      <c r="F198" s="3" t="s">
        <v>19</v>
      </c>
      <c r="G198" s="3" t="s">
        <v>449</v>
      </c>
      <c r="H198" s="13" t="s">
        <v>13</v>
      </c>
      <c r="I198" s="13" t="s">
        <v>13</v>
      </c>
      <c r="J198" s="13" t="s">
        <v>21</v>
      </c>
      <c r="K198" s="16" t="str">
        <f t="shared" si="5"/>
        <v>- 클럭 설정 구현</v>
      </c>
    </row>
    <row r="199" spans="2:11" x14ac:dyDescent="0.45">
      <c r="B199" s="92"/>
      <c r="C199" s="89"/>
      <c r="D199" s="4" t="str">
        <f>IF(COUNTA(E199),_xlfn.CONCAT("SW-FW-UnitTest-NRF-ID-",COUNTA(E$198:E199)),"")</f>
        <v>SW-FW-UnitTest-NRF-ID-2</v>
      </c>
      <c r="E199" s="3" t="s">
        <v>206</v>
      </c>
      <c r="F199" s="3" t="s">
        <v>19</v>
      </c>
      <c r="G199" s="3" t="s">
        <v>450</v>
      </c>
      <c r="H199" s="13" t="s">
        <v>13</v>
      </c>
      <c r="I199" s="13" t="s">
        <v>13</v>
      </c>
      <c r="J199" s="13" t="s">
        <v>21</v>
      </c>
      <c r="K199" s="16" t="str">
        <f t="shared" si="5"/>
        <v>- 전원 제어용 핀 설정 구현</v>
      </c>
    </row>
    <row r="200" spans="2:11" x14ac:dyDescent="0.45">
      <c r="B200" s="92"/>
      <c r="C200" s="89"/>
      <c r="D200" s="4" t="str">
        <f>IF(COUNTA(E200),_xlfn.CONCAT("SW-FW-UnitTest-NRF-ID-",COUNTA(E$198:E200)),"")</f>
        <v>SW-FW-UnitTest-NRF-ID-3</v>
      </c>
      <c r="E200" s="3" t="s">
        <v>108</v>
      </c>
      <c r="F200" s="3" t="s">
        <v>19</v>
      </c>
      <c r="G200" s="3" t="s">
        <v>451</v>
      </c>
      <c r="H200" s="13" t="s">
        <v>13</v>
      </c>
      <c r="I200" s="13" t="s">
        <v>13</v>
      </c>
      <c r="J200" s="13" t="s">
        <v>21</v>
      </c>
      <c r="K200" s="16" t="str">
        <f t="shared" si="5"/>
        <v>- SPI 설정 구현</v>
      </c>
    </row>
    <row r="201" spans="2:11" x14ac:dyDescent="0.45">
      <c r="B201" s="92"/>
      <c r="C201" s="89"/>
      <c r="D201" s="4" t="str">
        <f>IF(COUNTA(E201),_xlfn.CONCAT("SW-FW-UnitTest-NRF-ID-",COUNTA(E$198:E201)),"")</f>
        <v>SW-FW-UnitTest-NRF-ID-4</v>
      </c>
      <c r="E201" s="3" t="s">
        <v>240</v>
      </c>
      <c r="F201" s="3" t="s">
        <v>19</v>
      </c>
      <c r="G201" s="3" t="s">
        <v>452</v>
      </c>
      <c r="H201" s="13" t="s">
        <v>13</v>
      </c>
      <c r="I201" s="13" t="s">
        <v>13</v>
      </c>
      <c r="J201" s="13" t="s">
        <v>21</v>
      </c>
      <c r="K201" s="16" t="str">
        <f t="shared" si="5"/>
        <v>- Log Data 읽기 구현</v>
      </c>
    </row>
    <row r="202" spans="2:11" x14ac:dyDescent="0.45">
      <c r="B202" s="92"/>
      <c r="C202" s="89"/>
      <c r="D202" s="4" t="str">
        <f>IF(COUNTA(E202),_xlfn.CONCAT("SW-FW-UnitTest-NRF-ID-",COUNTA(E$198:E202)),"")</f>
        <v>SW-FW-UnitTest-NRF-ID-5</v>
      </c>
      <c r="E202" s="3" t="s">
        <v>207</v>
      </c>
      <c r="F202" s="3" t="s">
        <v>19</v>
      </c>
      <c r="G202" s="3" t="s">
        <v>453</v>
      </c>
      <c r="H202" s="13" t="s">
        <v>13</v>
      </c>
      <c r="I202" s="13" t="s">
        <v>13</v>
      </c>
      <c r="J202" s="13" t="s">
        <v>21</v>
      </c>
      <c r="K202" s="16" t="str">
        <f t="shared" si="5"/>
        <v>- 주기반복 타이머 설정 구현</v>
      </c>
    </row>
    <row r="203" spans="2:11" x14ac:dyDescent="0.45">
      <c r="B203" s="92"/>
      <c r="C203" s="89"/>
      <c r="D203" s="4" t="str">
        <f>IF(COUNTA(E203),_xlfn.CONCAT("SW-FW-UnitTest-NRF-ID-",COUNTA(E$198:E203)),"")</f>
        <v>SW-FW-UnitTest-NRF-ID-6</v>
      </c>
      <c r="E203" s="3" t="s">
        <v>208</v>
      </c>
      <c r="F203" s="3" t="s">
        <v>19</v>
      </c>
      <c r="G203" s="3" t="s">
        <v>454</v>
      </c>
      <c r="H203" s="13" t="s">
        <v>13</v>
      </c>
      <c r="I203" s="13" t="s">
        <v>13</v>
      </c>
      <c r="J203" s="13" t="s">
        <v>21</v>
      </c>
      <c r="K203" s="16" t="str">
        <f t="shared" si="5"/>
        <v>- Off Command 확인  구현</v>
      </c>
    </row>
    <row r="204" spans="2:11" x14ac:dyDescent="0.45">
      <c r="B204" s="92"/>
      <c r="C204" s="89"/>
      <c r="D204" s="4" t="str">
        <f>IF(COUNTA(E204),_xlfn.CONCAT("SW-FW-UnitTest-NRF-ID-",COUNTA(E$198:E204)),"")</f>
        <v>SW-FW-UnitTest-NRF-ID-7</v>
      </c>
      <c r="E204" s="3" t="s">
        <v>209</v>
      </c>
      <c r="F204" s="3" t="s">
        <v>18</v>
      </c>
      <c r="G204" s="3" t="s">
        <v>455</v>
      </c>
      <c r="H204" s="13" t="s">
        <v>13</v>
      </c>
      <c r="I204" s="13" t="s">
        <v>13</v>
      </c>
      <c r="J204" s="13" t="s">
        <v>21</v>
      </c>
      <c r="K204" s="16" t="str">
        <f t="shared" si="5"/>
        <v>- 장치 정보 파라미터 읽기 구현</v>
      </c>
    </row>
    <row r="205" spans="2:11" x14ac:dyDescent="0.45">
      <c r="B205" s="92"/>
      <c r="C205" s="89"/>
      <c r="D205" s="4" t="str">
        <f>IF(COUNTA(E205),_xlfn.CONCAT("SW-FW-UnitTest-NRF-ID-",COUNTA(E$198:E205)),"")</f>
        <v>SW-FW-UnitTest-NRF-ID-8</v>
      </c>
      <c r="E205" s="3" t="s">
        <v>210</v>
      </c>
      <c r="F205" s="3" t="s">
        <v>19</v>
      </c>
      <c r="G205" s="3" t="s">
        <v>456</v>
      </c>
      <c r="H205" s="13" t="s">
        <v>13</v>
      </c>
      <c r="I205" s="13" t="s">
        <v>13</v>
      </c>
      <c r="J205" s="13" t="s">
        <v>21</v>
      </c>
      <c r="K205" s="16" t="str">
        <f t="shared" si="5"/>
        <v>- BLE 광고 이름 설정  구현</v>
      </c>
    </row>
    <row r="206" spans="2:11" x14ac:dyDescent="0.45">
      <c r="B206" s="92"/>
      <c r="C206" s="89"/>
      <c r="D206" s="4" t="str">
        <f>IF(COUNTA(E206),_xlfn.CONCAT("SW-FW-UnitTest-NRF-ID-",COUNTA(E$198:E206)),"")</f>
        <v>SW-FW-UnitTest-NRF-ID-9</v>
      </c>
      <c r="E206" s="3" t="s">
        <v>211</v>
      </c>
      <c r="F206" s="3" t="s">
        <v>19</v>
      </c>
      <c r="G206" s="3" t="s">
        <v>457</v>
      </c>
      <c r="H206" s="13" t="s">
        <v>13</v>
      </c>
      <c r="I206" s="13" t="s">
        <v>13</v>
      </c>
      <c r="J206" s="13" t="s">
        <v>21</v>
      </c>
      <c r="K206" s="16" t="str">
        <f t="shared" si="5"/>
        <v>- 타이머 설정 비활성화 구현</v>
      </c>
    </row>
    <row r="207" spans="2:11" x14ac:dyDescent="0.45">
      <c r="B207" s="92"/>
      <c r="C207" s="89"/>
      <c r="D207" s="4" t="str">
        <f>IF(COUNTA(E207),_xlfn.CONCAT("SW-FW-UnitTest-NRF-ID-",COUNTA(E$198:E207)),"")</f>
        <v>SW-FW-UnitTest-NRF-ID-10</v>
      </c>
      <c r="E207" s="3" t="s">
        <v>212</v>
      </c>
      <c r="F207" s="3" t="s">
        <v>19</v>
      </c>
      <c r="G207" s="3" t="s">
        <v>458</v>
      </c>
      <c r="H207" s="13" t="s">
        <v>13</v>
      </c>
      <c r="I207" s="13" t="s">
        <v>13</v>
      </c>
      <c r="J207" s="13" t="s">
        <v>21</v>
      </c>
      <c r="K207" s="16" t="str">
        <f t="shared" si="5"/>
        <v>- 블루투스 스택 초기화 구현</v>
      </c>
    </row>
    <row r="208" spans="2:11" x14ac:dyDescent="0.45">
      <c r="B208" s="92"/>
      <c r="C208" s="89"/>
      <c r="D208" s="4" t="str">
        <f>IF(COUNTA(E208),_xlfn.CONCAT("SW-FW-UnitTest-NRF-ID-",COUNTA(E$198:E208)),"")</f>
        <v>SW-FW-UnitTest-NRF-ID-11</v>
      </c>
      <c r="E208" s="3" t="s">
        <v>213</v>
      </c>
      <c r="F208" s="3" t="s">
        <v>19</v>
      </c>
      <c r="G208" s="3" t="s">
        <v>459</v>
      </c>
      <c r="H208" s="13" t="s">
        <v>13</v>
      </c>
      <c r="I208" s="13" t="s">
        <v>13</v>
      </c>
      <c r="J208" s="13" t="s">
        <v>21</v>
      </c>
      <c r="K208" s="16" t="str">
        <f>_xlfn.CONCAT("- ", E208, " 구현")</f>
        <v>- 저전력 모드 진입 구현</v>
      </c>
    </row>
    <row r="209" spans="2:11" x14ac:dyDescent="0.45">
      <c r="B209" s="92"/>
      <c r="C209" s="89"/>
      <c r="D209" s="4" t="str">
        <f>IF(COUNTA(E209),_xlfn.CONCAT("SW-FW-UnitTest-NRF-ID-",COUNTA(E$198:E209)),"")</f>
        <v>SW-FW-UnitTest-NRF-ID-12</v>
      </c>
      <c r="E209" s="3" t="s">
        <v>241</v>
      </c>
      <c r="F209" s="3" t="s">
        <v>19</v>
      </c>
      <c r="G209" s="3" t="s">
        <v>460</v>
      </c>
      <c r="H209" s="13" t="s">
        <v>13</v>
      </c>
      <c r="I209" s="13" t="s">
        <v>13</v>
      </c>
      <c r="J209" s="13" t="s">
        <v>21</v>
      </c>
      <c r="K209" s="16" t="str">
        <f t="shared" ref="K209:K215" si="6">_xlfn.CONCAT("- ", E209, " 구현")</f>
        <v>- BLE 본딩 데이터 저장 구현</v>
      </c>
    </row>
    <row r="210" spans="2:11" x14ac:dyDescent="0.45">
      <c r="B210" s="92"/>
      <c r="C210" s="89"/>
      <c r="D210" s="4" t="str">
        <f>IF(COUNTA(E210),_xlfn.CONCAT("SW-FW-UnitTest-NRF-ID-",COUNTA(E$198:E210)),"")</f>
        <v>SW-FW-UnitTest-NRF-ID-13</v>
      </c>
      <c r="E210" s="3" t="s">
        <v>215</v>
      </c>
      <c r="F210" s="3" t="s">
        <v>19</v>
      </c>
      <c r="G210" s="3" t="s">
        <v>461</v>
      </c>
      <c r="H210" s="13" t="s">
        <v>13</v>
      </c>
      <c r="I210" s="13" t="s">
        <v>13</v>
      </c>
      <c r="J210" s="13" t="s">
        <v>21</v>
      </c>
      <c r="K210" s="16" t="str">
        <f t="shared" si="6"/>
        <v>- SPI 송신 데이터 쓰기 구현</v>
      </c>
    </row>
    <row r="211" spans="2:11" x14ac:dyDescent="0.45">
      <c r="B211" s="92"/>
      <c r="C211" s="89"/>
      <c r="D211" s="4" t="str">
        <f>IF(COUNTA(E211),_xlfn.CONCAT("SW-FW-UnitTest-NRF-ID-",COUNTA(E$198:E211)),"")</f>
        <v>SW-FW-UnitTest-NRF-ID-14</v>
      </c>
      <c r="E211" s="3" t="s">
        <v>214</v>
      </c>
      <c r="F211" s="3" t="s">
        <v>19</v>
      </c>
      <c r="G211" s="3" t="s">
        <v>462</v>
      </c>
      <c r="H211" s="13" t="s">
        <v>13</v>
      </c>
      <c r="I211" s="13" t="s">
        <v>13</v>
      </c>
      <c r="J211" s="13" t="s">
        <v>21</v>
      </c>
      <c r="K211" s="16" t="str">
        <f t="shared" si="6"/>
        <v>- SPI 송신 구현</v>
      </c>
    </row>
    <row r="212" spans="2:11" x14ac:dyDescent="0.45">
      <c r="B212" s="92"/>
      <c r="C212" s="89"/>
      <c r="D212" s="4" t="str">
        <f>IF(COUNTA(E212),_xlfn.CONCAT("SW-FW-UnitTest-NRF-ID-",COUNTA(E$198:E212)),"")</f>
        <v>SW-FW-UnitTest-NRF-ID-15</v>
      </c>
      <c r="E212" s="3" t="s">
        <v>216</v>
      </c>
      <c r="F212" s="3" t="s">
        <v>19</v>
      </c>
      <c r="G212" s="3" t="s">
        <v>463</v>
      </c>
      <c r="H212" s="13" t="s">
        <v>13</v>
      </c>
      <c r="I212" s="13" t="s">
        <v>13</v>
      </c>
      <c r="J212" s="13" t="s">
        <v>21</v>
      </c>
      <c r="K212" s="16" t="str">
        <f t="shared" si="6"/>
        <v>- SPI 슬레이브 장치 데이터 송신 알림 읽기   구현</v>
      </c>
    </row>
    <row r="213" spans="2:11" x14ac:dyDescent="0.45">
      <c r="B213" s="92"/>
      <c r="C213" s="89"/>
      <c r="D213" s="4" t="str">
        <f>IF(COUNTA(E213),_xlfn.CONCAT("SW-FW-UnitTest-NRF-ID-",COUNTA(E$198:E213)),"")</f>
        <v>SW-FW-UnitTest-NRF-ID-16</v>
      </c>
      <c r="E213" s="3" t="s">
        <v>217</v>
      </c>
      <c r="F213" s="3" t="s">
        <v>19</v>
      </c>
      <c r="G213" s="3" t="s">
        <v>464</v>
      </c>
      <c r="H213" s="13" t="s">
        <v>13</v>
      </c>
      <c r="I213" s="13" t="s">
        <v>13</v>
      </c>
      <c r="J213" s="13" t="s">
        <v>21</v>
      </c>
      <c r="K213" s="16" t="str">
        <f t="shared" si="6"/>
        <v>- SPI 수신  구현</v>
      </c>
    </row>
    <row r="214" spans="2:11" x14ac:dyDescent="0.45">
      <c r="B214" s="92"/>
      <c r="C214" s="89"/>
      <c r="D214" s="4" t="str">
        <f>IF(COUNTA(E214),_xlfn.CONCAT("SW-FW-UnitTest-NRF-ID-",COUNTA(E$198:E214)),"")</f>
        <v>SW-FW-UnitTest-NRF-ID-17</v>
      </c>
      <c r="E214" s="3" t="s">
        <v>218</v>
      </c>
      <c r="F214" s="3" t="s">
        <v>19</v>
      </c>
      <c r="G214" s="3" t="s">
        <v>465</v>
      </c>
      <c r="H214" s="13" t="s">
        <v>13</v>
      </c>
      <c r="I214" s="13" t="s">
        <v>13</v>
      </c>
      <c r="J214" s="13" t="s">
        <v>21</v>
      </c>
      <c r="K214" s="16" t="str">
        <f t="shared" si="6"/>
        <v>- SPI 수신 데이터 복사 구현</v>
      </c>
    </row>
    <row r="215" spans="2:11" x14ac:dyDescent="0.45">
      <c r="B215" s="93"/>
      <c r="C215" s="24" t="s">
        <v>204</v>
      </c>
      <c r="D215" s="4" t="str">
        <f>IF(COUNTA(E215),_xlfn.CONCAT("SW-FW-UnitTest-NRF-ID-",COUNTA(E$198:E215)),"")</f>
        <v>SW-FW-UnitTest-NRF-ID-18</v>
      </c>
      <c r="E215" s="3" t="s">
        <v>219</v>
      </c>
      <c r="F215" s="3" t="s">
        <v>19</v>
      </c>
      <c r="G215" s="3" t="s">
        <v>466</v>
      </c>
      <c r="H215" s="13" t="s">
        <v>13</v>
      </c>
      <c r="I215" s="13" t="s">
        <v>13</v>
      </c>
      <c r="J215" s="13" t="s">
        <v>21</v>
      </c>
      <c r="K215" s="16" t="str">
        <f t="shared" si="6"/>
        <v>- 블루투스 데이터 수신 구현</v>
      </c>
    </row>
    <row r="218" spans="2:11" ht="21" x14ac:dyDescent="0.45">
      <c r="B218" s="22" t="s">
        <v>273</v>
      </c>
      <c r="C218" s="9"/>
    </row>
    <row r="219" spans="2:11" x14ac:dyDescent="0.45">
      <c r="B219" s="18"/>
      <c r="C219" s="9" t="s">
        <v>274</v>
      </c>
    </row>
    <row r="220" spans="2:11" x14ac:dyDescent="0.45">
      <c r="C220" s="14" t="s">
        <v>275</v>
      </c>
    </row>
    <row r="222" spans="2:11" x14ac:dyDescent="0.45">
      <c r="C222" s="14" t="s">
        <v>276</v>
      </c>
    </row>
    <row r="223" spans="2:11" x14ac:dyDescent="0.45">
      <c r="C223" s="14" t="s">
        <v>275</v>
      </c>
    </row>
  </sheetData>
  <mergeCells count="34">
    <mergeCell ref="B91:B197"/>
    <mergeCell ref="C91:C168"/>
    <mergeCell ref="C170:C188"/>
    <mergeCell ref="C189:C197"/>
    <mergeCell ref="B198:B215"/>
    <mergeCell ref="C198:C214"/>
    <mergeCell ref="B30:B90"/>
    <mergeCell ref="C30:C76"/>
    <mergeCell ref="C77:C88"/>
    <mergeCell ref="C89:C90"/>
    <mergeCell ref="G28:G29"/>
    <mergeCell ref="H28:H29"/>
    <mergeCell ref="I28:I29"/>
    <mergeCell ref="J28:J29"/>
    <mergeCell ref="K28:K29"/>
    <mergeCell ref="B28:B29"/>
    <mergeCell ref="C28:C29"/>
    <mergeCell ref="D28:D29"/>
    <mergeCell ref="E28:E29"/>
    <mergeCell ref="F28:F29"/>
    <mergeCell ref="D22:F22"/>
    <mergeCell ref="D23:F23"/>
    <mergeCell ref="D24:F24"/>
    <mergeCell ref="D17:F17"/>
    <mergeCell ref="D18:F18"/>
    <mergeCell ref="D19:F19"/>
    <mergeCell ref="D20:F20"/>
    <mergeCell ref="D21:F21"/>
    <mergeCell ref="D16:F16"/>
    <mergeCell ref="B2:F3"/>
    <mergeCell ref="D7:F7"/>
    <mergeCell ref="D8:F8"/>
    <mergeCell ref="C11:F11"/>
    <mergeCell ref="D15:F15"/>
  </mergeCells>
  <phoneticPr fontId="1" type="noConversion"/>
  <pageMargins left="0.25" right="0.25" top="0.75" bottom="0.75" header="0.3" footer="0.3"/>
  <pageSetup paperSize="9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기준서_유닛 검증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임정우</cp:lastModifiedBy>
  <cp:lastPrinted>2024-11-25T10:22:34Z</cp:lastPrinted>
  <dcterms:created xsi:type="dcterms:W3CDTF">2015-06-05T18:19:34Z</dcterms:created>
  <dcterms:modified xsi:type="dcterms:W3CDTF">2024-11-25T10:22:44Z</dcterms:modified>
</cp:coreProperties>
</file>