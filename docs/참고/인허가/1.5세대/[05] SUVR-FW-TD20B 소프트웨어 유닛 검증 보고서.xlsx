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ohnnyTodoc\(주)토닥 Dropbox\인공와우\DHF-인공와우\01_외부기\TD20B_A_EXT\000_완제품\04_설계 검증\SW\펌웨어\"/>
    </mc:Choice>
  </mc:AlternateContent>
  <xr:revisionPtr revIDLastSave="0" documentId="13_ncr:1_{12B61937-0671-4D25-807E-439E28C179A9}" xr6:coauthVersionLast="47" xr6:coauthVersionMax="47" xr10:uidLastSave="{00000000-0000-0000-0000-000000000000}"/>
  <bookViews>
    <workbookView xWindow="-110" yWindow="-110" windowWidth="35930" windowHeight="21820" activeTab="1" xr2:uid="{00000000-000D-0000-FFFF-FFFF00000000}"/>
  </bookViews>
  <sheets>
    <sheet name="표지" sheetId="1" r:id="rId1"/>
    <sheet name="보고서_유닛 시험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19" i="18" l="1"/>
  <c r="D219" i="18"/>
  <c r="K218" i="18"/>
  <c r="D218" i="18"/>
  <c r="K217" i="18"/>
  <c r="D217" i="18"/>
  <c r="K216" i="18"/>
  <c r="D216" i="18"/>
  <c r="K215" i="18"/>
  <c r="D215" i="18"/>
  <c r="K214" i="18"/>
  <c r="D214" i="18"/>
  <c r="K213" i="18"/>
  <c r="D213" i="18"/>
  <c r="K212" i="18"/>
  <c r="D212" i="18"/>
  <c r="K211" i="18"/>
  <c r="D211" i="18"/>
  <c r="K210" i="18"/>
  <c r="D210" i="18"/>
  <c r="K209" i="18"/>
  <c r="D209" i="18"/>
  <c r="K208" i="18"/>
  <c r="D208" i="18"/>
  <c r="K207" i="18"/>
  <c r="D207" i="18"/>
  <c r="K206" i="18"/>
  <c r="D206" i="18"/>
  <c r="K205" i="18"/>
  <c r="D205" i="18"/>
  <c r="K204" i="18"/>
  <c r="D204" i="18"/>
  <c r="K203" i="18"/>
  <c r="D203" i="18"/>
  <c r="K202" i="18"/>
  <c r="D202" i="18"/>
  <c r="K201" i="18"/>
  <c r="D201" i="18"/>
  <c r="K200" i="18"/>
  <c r="D200" i="18"/>
  <c r="K199" i="18"/>
  <c r="D199" i="18"/>
  <c r="K198" i="18"/>
  <c r="D198" i="18"/>
  <c r="K197" i="18"/>
  <c r="D197" i="18"/>
  <c r="K196" i="18"/>
  <c r="D196" i="18"/>
  <c r="K195" i="18"/>
  <c r="D195" i="18"/>
  <c r="K194" i="18"/>
  <c r="D194" i="18"/>
  <c r="K193" i="18"/>
  <c r="D193" i="18"/>
  <c r="K192" i="18"/>
  <c r="D192" i="18"/>
  <c r="K191" i="18"/>
  <c r="D191" i="18"/>
  <c r="K190" i="18"/>
  <c r="D190" i="18"/>
  <c r="K189" i="18"/>
  <c r="D189" i="18"/>
  <c r="K188" i="18"/>
  <c r="D188" i="18"/>
  <c r="K187" i="18"/>
  <c r="D187" i="18"/>
  <c r="K186" i="18"/>
  <c r="D186" i="18"/>
  <c r="K185" i="18"/>
  <c r="D185" i="18"/>
  <c r="K184" i="18"/>
  <c r="D184" i="18"/>
  <c r="K183" i="18"/>
  <c r="D183" i="18"/>
  <c r="K182" i="18"/>
  <c r="D182" i="18"/>
  <c r="K181" i="18"/>
  <c r="D181" i="18"/>
  <c r="K180" i="18"/>
  <c r="D180" i="18"/>
  <c r="K179" i="18"/>
  <c r="D179" i="18"/>
  <c r="K178" i="18"/>
  <c r="D178" i="18"/>
  <c r="K177" i="18"/>
  <c r="D177" i="18"/>
  <c r="K176" i="18"/>
  <c r="D176" i="18"/>
  <c r="K175" i="18"/>
  <c r="D175" i="18"/>
  <c r="K174" i="18"/>
  <c r="D174" i="18"/>
  <c r="K173" i="18"/>
  <c r="D173" i="18"/>
  <c r="K172" i="18"/>
  <c r="D172" i="18"/>
  <c r="K171" i="18"/>
  <c r="D171" i="18"/>
  <c r="K170" i="18"/>
  <c r="D170" i="18"/>
  <c r="K169" i="18"/>
  <c r="D169" i="18"/>
  <c r="K168" i="18"/>
  <c r="D168" i="18"/>
  <c r="K167" i="18"/>
  <c r="D167" i="18"/>
  <c r="K166" i="18"/>
  <c r="D166" i="18"/>
  <c r="K165" i="18"/>
  <c r="D165" i="18"/>
  <c r="K164" i="18"/>
  <c r="D164" i="18"/>
  <c r="K163" i="18"/>
  <c r="D163" i="18"/>
  <c r="K162" i="18"/>
  <c r="D162" i="18"/>
  <c r="K161" i="18"/>
  <c r="D161" i="18"/>
  <c r="K160" i="18"/>
  <c r="D160" i="18"/>
  <c r="K159" i="18"/>
  <c r="D159" i="18"/>
  <c r="K158" i="18"/>
  <c r="D158" i="18"/>
  <c r="K157" i="18"/>
  <c r="D157" i="18"/>
  <c r="K156" i="18"/>
  <c r="D156" i="18"/>
  <c r="K155" i="18"/>
  <c r="D155" i="18"/>
  <c r="K154" i="18"/>
  <c r="D154" i="18"/>
  <c r="K153" i="18"/>
  <c r="D153" i="18"/>
  <c r="K152" i="18"/>
  <c r="D152" i="18"/>
  <c r="K151" i="18"/>
  <c r="D151" i="18"/>
  <c r="K150" i="18"/>
  <c r="D150" i="18"/>
  <c r="K149" i="18"/>
  <c r="D149" i="18"/>
  <c r="K148" i="18"/>
  <c r="D148" i="18"/>
  <c r="K147" i="18"/>
  <c r="D147" i="18"/>
  <c r="K146" i="18"/>
  <c r="D146" i="18"/>
  <c r="K145" i="18"/>
  <c r="D145" i="18"/>
  <c r="K144" i="18"/>
  <c r="D144" i="18"/>
  <c r="K143" i="18"/>
  <c r="D143" i="18"/>
  <c r="K142" i="18"/>
  <c r="D142" i="18"/>
  <c r="K141" i="18"/>
  <c r="D141" i="18"/>
  <c r="K140" i="18"/>
  <c r="D140" i="18"/>
  <c r="K139" i="18"/>
  <c r="D139" i="18"/>
  <c r="K138" i="18"/>
  <c r="D138" i="18"/>
  <c r="K137" i="18"/>
  <c r="D137" i="18"/>
  <c r="K136" i="18"/>
  <c r="D136" i="18"/>
  <c r="K135" i="18"/>
  <c r="D135" i="18"/>
  <c r="K134" i="18"/>
  <c r="D134" i="18"/>
  <c r="K133" i="18"/>
  <c r="D133" i="18"/>
  <c r="K132" i="18"/>
  <c r="D132" i="18"/>
  <c r="K131" i="18"/>
  <c r="D131" i="18"/>
  <c r="K130" i="18"/>
  <c r="D130" i="18"/>
  <c r="K129" i="18"/>
  <c r="D129" i="18"/>
  <c r="K128" i="18"/>
  <c r="D128" i="18"/>
  <c r="K127" i="18"/>
  <c r="D127" i="18"/>
  <c r="K126" i="18"/>
  <c r="D126" i="18"/>
  <c r="K125" i="18"/>
  <c r="D125" i="18"/>
  <c r="K124" i="18"/>
  <c r="D124" i="18"/>
  <c r="K123" i="18"/>
  <c r="D123" i="18"/>
  <c r="K122" i="18"/>
  <c r="D122" i="18"/>
  <c r="K121" i="18"/>
  <c r="D121" i="18"/>
  <c r="K120" i="18"/>
  <c r="D120" i="18"/>
  <c r="K119" i="18"/>
  <c r="D119" i="18"/>
  <c r="K118" i="18"/>
  <c r="D118" i="18"/>
  <c r="K117" i="18"/>
  <c r="D117" i="18"/>
  <c r="K116" i="18"/>
  <c r="D116" i="18"/>
  <c r="K115" i="18"/>
  <c r="D115" i="18"/>
  <c r="K114" i="18"/>
  <c r="D114" i="18"/>
  <c r="K113" i="18"/>
  <c r="D113" i="18"/>
  <c r="K112" i="18"/>
  <c r="D112" i="18"/>
  <c r="K111" i="18"/>
  <c r="D111" i="18"/>
  <c r="K110" i="18"/>
  <c r="D110" i="18"/>
  <c r="K109" i="18"/>
  <c r="D109" i="18"/>
  <c r="K108" i="18"/>
  <c r="D108" i="18"/>
  <c r="K107" i="18"/>
  <c r="D107" i="18"/>
  <c r="K106" i="18"/>
  <c r="D106" i="18"/>
  <c r="K105" i="18"/>
  <c r="D105" i="18"/>
  <c r="K104" i="18"/>
  <c r="D104" i="18"/>
  <c r="K103" i="18"/>
  <c r="D103" i="18"/>
  <c r="K102" i="18"/>
  <c r="D102" i="18"/>
  <c r="K101" i="18"/>
  <c r="D101" i="18"/>
  <c r="K100" i="18"/>
  <c r="D100" i="18"/>
  <c r="K99" i="18"/>
  <c r="D99" i="18"/>
  <c r="K98" i="18"/>
  <c r="D98" i="18"/>
  <c r="K97" i="18"/>
  <c r="D97" i="18"/>
  <c r="K96" i="18"/>
  <c r="D96" i="18"/>
  <c r="D95" i="18"/>
  <c r="D94" i="18"/>
  <c r="D93" i="18"/>
  <c r="D92" i="18"/>
  <c r="D91" i="18"/>
  <c r="D90" i="18"/>
  <c r="D89" i="18"/>
  <c r="D88" i="18"/>
  <c r="D87" i="18"/>
  <c r="D86" i="18"/>
  <c r="D85" i="18"/>
  <c r="D84" i="18"/>
  <c r="D83" i="18"/>
  <c r="D82" i="18"/>
  <c r="D81" i="18"/>
  <c r="K80" i="18"/>
  <c r="D80" i="18"/>
  <c r="K79" i="18"/>
  <c r="D79" i="18"/>
  <c r="K78" i="18"/>
  <c r="D78" i="18"/>
  <c r="K77" i="18"/>
  <c r="D77" i="18"/>
  <c r="K76" i="18"/>
  <c r="D76" i="18"/>
  <c r="K75" i="18"/>
  <c r="D75" i="18"/>
  <c r="K74" i="18"/>
  <c r="D74" i="18"/>
  <c r="K73" i="18"/>
  <c r="D73" i="18"/>
  <c r="K72" i="18"/>
  <c r="D72" i="18"/>
  <c r="K71" i="18"/>
  <c r="D71" i="18"/>
  <c r="K70" i="18"/>
  <c r="D70" i="18"/>
  <c r="K69" i="18"/>
  <c r="D69" i="18"/>
  <c r="K68" i="18"/>
  <c r="D68" i="18"/>
  <c r="K67" i="18"/>
  <c r="D67" i="18"/>
  <c r="K66" i="18"/>
  <c r="D66" i="18"/>
  <c r="K65" i="18"/>
  <c r="D65" i="18"/>
  <c r="K64" i="18"/>
  <c r="D64" i="18"/>
  <c r="K63" i="18"/>
  <c r="D63" i="18"/>
  <c r="K62" i="18"/>
  <c r="D62" i="18"/>
  <c r="K61" i="18"/>
  <c r="D61" i="18"/>
  <c r="K60" i="18"/>
  <c r="D60" i="18"/>
  <c r="K59" i="18"/>
  <c r="D59" i="18"/>
  <c r="K58" i="18"/>
  <c r="D58" i="18"/>
  <c r="K57" i="18"/>
  <c r="D57" i="18"/>
  <c r="K56" i="18"/>
  <c r="D56" i="18"/>
  <c r="K55" i="18"/>
  <c r="D55" i="18"/>
  <c r="D54" i="18"/>
  <c r="K53" i="18"/>
  <c r="D53" i="18"/>
  <c r="K52" i="18"/>
  <c r="D52" i="18"/>
  <c r="K51" i="18"/>
  <c r="D51" i="18"/>
  <c r="K50" i="18"/>
  <c r="D50" i="18"/>
  <c r="K49" i="18"/>
  <c r="D49" i="18"/>
  <c r="K48" i="18"/>
  <c r="D48" i="18"/>
  <c r="K47" i="18"/>
  <c r="D47" i="18"/>
  <c r="K46" i="18"/>
  <c r="D46" i="18"/>
  <c r="K45" i="18"/>
  <c r="D45" i="18"/>
  <c r="K44" i="18"/>
  <c r="D44" i="18"/>
  <c r="K43" i="18"/>
  <c r="D43" i="18"/>
  <c r="K42" i="18"/>
  <c r="D42" i="18"/>
  <c r="K41" i="18"/>
  <c r="D41" i="18"/>
  <c r="K40" i="18"/>
  <c r="D40" i="18"/>
  <c r="K39" i="18"/>
  <c r="D39" i="18"/>
  <c r="K38" i="18"/>
  <c r="D38" i="18"/>
  <c r="K37" i="18"/>
  <c r="D37" i="18"/>
  <c r="K36" i="18"/>
  <c r="D36" i="18"/>
  <c r="K35" i="18"/>
  <c r="D35" i="18"/>
  <c r="D34" i="18"/>
</calcChain>
</file>

<file path=xl/sharedStrings.xml><?xml version="1.0" encoding="utf-8"?>
<sst xmlns="http://schemas.openxmlformats.org/spreadsheetml/2006/main" count="1592" uniqueCount="648">
  <si>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</si>
  <si>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</si>
  <si>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</si>
  <si>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</si>
  <si>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</si>
  <si>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</si>
  <si>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</si>
  <si>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</si>
  <si>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</si>
  <si>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</si>
  <si>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</si>
  <si>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</si>
  <si>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설명</t>
    <phoneticPr fontId="1" type="noConversion"/>
  </si>
  <si>
    <t>NA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</si>
  <si>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</si>
  <si>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</si>
  <si>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</si>
  <si>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결과</t>
    <phoneticPr fontId="1" type="noConversion"/>
  </si>
  <si>
    <t>T</t>
    <phoneticPr fontId="1" type="noConversion"/>
  </si>
  <si>
    <t>D</t>
    <phoneticPr fontId="1" type="noConversion"/>
  </si>
  <si>
    <t>A</t>
    <phoneticPr fontId="1" type="noConversion"/>
  </si>
  <si>
    <t>상세 설계 ID</t>
    <phoneticPr fontId="1" type="noConversion"/>
  </si>
  <si>
    <t>코드 분석</t>
    <phoneticPr fontId="1" type="noConversion"/>
  </si>
  <si>
    <t>- DIO 설정 코드 구현</t>
    <phoneticPr fontId="1" type="noConversion"/>
  </si>
  <si>
    <t>타이머 중지</t>
    <phoneticPr fontId="1" type="noConversion"/>
  </si>
  <si>
    <t>인터럽트 초기화</t>
    <phoneticPr fontId="1" type="noConversion"/>
  </si>
  <si>
    <t>저전력 모드 비활성화</t>
    <phoneticPr fontId="1" type="noConversion"/>
  </si>
  <si>
    <t>전원 안정화 대기</t>
    <phoneticPr fontId="1" type="noConversion"/>
  </si>
  <si>
    <t>MCU 리셋 및 중지</t>
    <phoneticPr fontId="1" type="noConversion"/>
  </si>
  <si>
    <t>동작 클럭 설정</t>
    <phoneticPr fontId="1" type="noConversion"/>
  </si>
  <si>
    <t>메인 MCU 초기화</t>
    <phoneticPr fontId="1" type="noConversion"/>
  </si>
  <si>
    <t>입/출력단 비활성화</t>
    <phoneticPr fontId="1" type="noConversion"/>
  </si>
  <si>
    <t>FIFO 초기화</t>
    <phoneticPr fontId="1" type="noConversion"/>
  </si>
  <si>
    <t>IOC 설정</t>
    <phoneticPr fontId="1" type="noConversion"/>
  </si>
  <si>
    <t>오디오 MUX 설정</t>
    <phoneticPr fontId="1" type="noConversion"/>
  </si>
  <si>
    <t>DIO 설정  1차</t>
    <phoneticPr fontId="1" type="noConversion"/>
  </si>
  <si>
    <t>MCU 시작</t>
    <phoneticPr fontId="1" type="noConversion"/>
  </si>
  <si>
    <t>인터럽트 설정 2차</t>
    <phoneticPr fontId="1" type="noConversion"/>
  </si>
  <si>
    <t>CORE</t>
    <phoneticPr fontId="1" type="noConversion"/>
  </si>
  <si>
    <t>ADC 설정</t>
    <phoneticPr fontId="1" type="noConversion"/>
  </si>
  <si>
    <t>DAC 설정</t>
    <phoneticPr fontId="1" type="noConversion"/>
  </si>
  <si>
    <t>Hear Core, Fuction chain 활성화</t>
    <phoneticPr fontId="1" type="noConversion"/>
  </si>
  <si>
    <t>인터럽트 설정 1차</t>
    <phoneticPr fontId="1" type="noConversion"/>
  </si>
  <si>
    <t>DIO 설정  2차</t>
    <phoneticPr fontId="1" type="noConversion"/>
  </si>
  <si>
    <t>메모리 초기화 대기</t>
    <phoneticPr fontId="1" type="noConversion"/>
  </si>
  <si>
    <t>DIO 설정 3차</t>
    <phoneticPr fontId="1" type="noConversion"/>
  </si>
  <si>
    <t>인터럽트 서비스 루틴</t>
    <phoneticPr fontId="1" type="noConversion"/>
  </si>
  <si>
    <t>저전력 모드전환</t>
    <phoneticPr fontId="1" type="noConversion"/>
  </si>
  <si>
    <t>windowing 계수 읽기</t>
    <phoneticPr fontId="1" type="noConversion"/>
  </si>
  <si>
    <t xml:space="preserve">내부기 정보 읽기 </t>
    <phoneticPr fontId="1" type="noConversion"/>
  </si>
  <si>
    <t>배터리 전압 교정값 읽기</t>
    <phoneticPr fontId="1" type="noConversion"/>
  </si>
  <si>
    <t>맵 정보 읽기</t>
    <phoneticPr fontId="1" type="noConversion"/>
  </si>
  <si>
    <t>사용자 설정값 읽기</t>
    <phoneticPr fontId="1" type="noConversion"/>
  </si>
  <si>
    <t>매핑 데이터 읽기</t>
    <phoneticPr fontId="1" type="noConversion"/>
  </si>
  <si>
    <t>통과 대역 밴드 읽기</t>
    <phoneticPr fontId="1" type="noConversion"/>
  </si>
  <si>
    <t>사용자 설정값 저장</t>
    <phoneticPr fontId="1" type="noConversion"/>
  </si>
  <si>
    <t>매핑 데이터 삭제, 매핑 통신</t>
    <phoneticPr fontId="1" type="noConversion"/>
  </si>
  <si>
    <t>매핑 데이터 읽기, 매핑 통신</t>
    <phoneticPr fontId="1" type="noConversion"/>
  </si>
  <si>
    <t>배터리 잔량 업데이트</t>
    <phoneticPr fontId="1" type="noConversion"/>
  </si>
  <si>
    <t>가속도 센서 입력 업데이트</t>
    <phoneticPr fontId="1" type="noConversion"/>
  </si>
  <si>
    <t>USB 커넥터용 DIO 설정</t>
    <phoneticPr fontId="1" type="noConversion"/>
  </si>
  <si>
    <t>가속도 센서 및 PCM용 DIO 설정</t>
    <phoneticPr fontId="1" type="noConversion"/>
  </si>
  <si>
    <t>LSAD 설정</t>
    <phoneticPr fontId="1" type="noConversion"/>
  </si>
  <si>
    <t>매핑 데이터 저장, 매핑 통신</t>
    <phoneticPr fontId="1" type="noConversion"/>
  </si>
  <si>
    <t>Module</t>
    <phoneticPr fontId="1" type="noConversion"/>
  </si>
  <si>
    <t>텔레코일 입력 절대값</t>
    <phoneticPr fontId="1" type="noConversion"/>
  </si>
  <si>
    <t>텔레 코일 입력 감지</t>
    <phoneticPr fontId="1" type="noConversion"/>
  </si>
  <si>
    <t>- 이어폰이 근접하면 텔레코일 감지 플래그가 활성화 되고, 이어폰이 멀어지면 텔레코일 감지 플래그가 비활성화 되어야한다.</t>
    <phoneticPr fontId="1" type="noConversion"/>
  </si>
  <si>
    <t>오디오 신호 혼합</t>
    <phoneticPr fontId="1" type="noConversion"/>
  </si>
  <si>
    <t xml:space="preserve">- 스피커에 음악을 재생시킨 상태에서 텔레코일에 스피커를 가까이 놓았다 멀리 떼는 동작을 반복한다.
- 디버깅용 중단점을 적용하여 파라미터 값을 확인한다.
</t>
    <phoneticPr fontId="1" type="noConversion"/>
  </si>
  <si>
    <t>- 텔레코일 사용 플래그가 활성화 된 경우, 스피커가 텔레코일 가까이 가면 음악과 마이크의 주변소리가 같이 들려야 하며, 떨어지면 마이크의 주변 소리만 들려야 한다.
- 텔레코일 사용 플래그가 비활성화 된 경우, 스피커의 거리에 상관없이 마이크 주번 소리만 이어폰으로 들려야한다.</t>
    <phoneticPr fontId="1" type="noConversion"/>
  </si>
  <si>
    <t>- 입력 테스트 벡터의 절대값이 확인되어야한다.</t>
    <phoneticPr fontId="1" type="noConversion"/>
  </si>
  <si>
    <t>해당 유닛을 실행시키고 디버깅용 중단점을 적용하여 출력 데이터를 데이터를 확인한다.</t>
    <phoneticPr fontId="1" type="noConversion"/>
  </si>
  <si>
    <t>AGC 입력 최대 값</t>
    <phoneticPr fontId="1" type="noConversion"/>
  </si>
  <si>
    <t>- 입력 테스트 벡터의 최대값이 확인되어야한다.</t>
    <phoneticPr fontId="1" type="noConversion"/>
  </si>
  <si>
    <t>AGC 적용</t>
    <phoneticPr fontId="1" type="noConversion"/>
  </si>
  <si>
    <t>입력 데이터 업데이트</t>
    <phoneticPr fontId="1" type="noConversion"/>
  </si>
  <si>
    <t>- 데이터 업데이트 확인</t>
    <phoneticPr fontId="1" type="noConversion"/>
  </si>
  <si>
    <t>FFT 변환 및 주파수 영역 크기 구하기</t>
    <phoneticPr fontId="1" type="noConversion"/>
  </si>
  <si>
    <t>- 주파수 영역의 크기기 테스트 벡터 출력과 비슷한 양상을 보여야한다.(고정소수점 연산 고려)</t>
    <phoneticPr fontId="1" type="noConversion"/>
  </si>
  <si>
    <t>- AGC 출력 데이터가 테스트 벡터 출력과 비슷한 양상을 보여야 한다.(고정소수점 연산 고려)</t>
    <phoneticPr fontId="1" type="noConversion"/>
  </si>
  <si>
    <t>시간 영역의 크기 값 구하기</t>
    <phoneticPr fontId="1" type="noConversion"/>
  </si>
  <si>
    <t>- 시간 영역의 주파수 밴드별 크기가 테스트 벡터 출력과 비슷한 양상을 보여야한다.(고정소수점 연산 고려)</t>
    <phoneticPr fontId="1" type="noConversion"/>
  </si>
  <si>
    <t xml:space="preserve">비선형 매핑 </t>
    <phoneticPr fontId="1" type="noConversion"/>
  </si>
  <si>
    <t>- 비선형 매핑(전기 자극 레벨)이 테스트 벡터 출력과 비슷한 양상을 보여야한다.(고정소수점 연산 고려)</t>
    <phoneticPr fontId="1" type="noConversion"/>
  </si>
  <si>
    <t>신호처리용 계수 전처리, C 값 계산</t>
    <phoneticPr fontId="1" type="noConversion"/>
  </si>
  <si>
    <t>신호처리용 계수 전처리, 로그 매핑 계수 계산</t>
    <phoneticPr fontId="1" type="noConversion"/>
  </si>
  <si>
    <t>- 자극볼륨이 적용된 C 값이 테스트 벡터 출력과 비슷한 양상을 보여야한다.(고정소수점 연산 고려)</t>
    <phoneticPr fontId="1" type="noConversion"/>
  </si>
  <si>
    <t>- 로그 매핑 계수 A, B 값이 테스트 벡터 출력과 비슷한 양상을 보여야한다.(고정소수점 연산 고려)</t>
    <phoneticPr fontId="1" type="noConversion"/>
  </si>
  <si>
    <t>분석 대역별 대표값 구하기</t>
    <phoneticPr fontId="1" type="noConversion"/>
  </si>
  <si>
    <t>실시간 자극 출력 PCM 생성</t>
    <phoneticPr fontId="1" type="noConversion"/>
  </si>
  <si>
    <t>내부기 연결 검사 PCM 생성</t>
    <phoneticPr fontId="1" type="noConversion"/>
  </si>
  <si>
    <t>- PCM 출력 버퍼 복사본의 데이터에서 자극 펄스 파라미터 , 자극 레벨이 확인되어야한다.
- 설정된 순서에 맞게 자극 채널 출력이 확인되어야 한다.</t>
    <phoneticPr fontId="1" type="noConversion"/>
  </si>
  <si>
    <t>- 디버깅 모드
- 입력 데이터를 테스트 벡터로 대체</t>
    <phoneticPr fontId="1" type="noConversion"/>
  </si>
  <si>
    <t>- 디버깅 모드
- 피에조가 제거된 스피커를 사용하여 전자기장만을 발생시킨다.</t>
    <phoneticPr fontId="1" type="noConversion"/>
  </si>
  <si>
    <t>- 디버깅 모드
- 입력 데이터를 테스트 벡터로 대체
- 신호처리 계수 전처리 유닛들의 검증 이후</t>
    <phoneticPr fontId="1" type="noConversion"/>
  </si>
  <si>
    <t>- 디버깅 모드
- 자극 펄스 파라미터 및 자극 레벨 테스트 벡터로 대체
- PCM 출력 버퍼 복사본 생성</t>
    <phoneticPr fontId="1" type="noConversion"/>
  </si>
  <si>
    <t>- 디버깅 모드
- PCM 출력 버퍼 복사본 생성</t>
    <phoneticPr fontId="1" type="noConversion"/>
  </si>
  <si>
    <t xml:space="preserve">- 채널당 프레임 개수를 변경하면서 해당 유닛을 실행시키고 디버깅용 중단점을 적용하여 출력 데이터를 확인한다.
</t>
    <phoneticPr fontId="1" type="noConversion"/>
  </si>
  <si>
    <t>- 카운터에 맞게 분기 되어야 하며, PCM 출력 버퍼 복사본의 데이터가 설계 사양서와 동일해야한다.</t>
    <phoneticPr fontId="1" type="noConversion"/>
  </si>
  <si>
    <t>내부기 
실행 
제어
모듈</t>
    <phoneticPr fontId="1" type="noConversion"/>
  </si>
  <si>
    <t>신호처리
모듈</t>
    <phoneticPr fontId="1" type="noConversion"/>
  </si>
  <si>
    <t>시스템
제어
모듈</t>
    <phoneticPr fontId="1" type="noConversion"/>
  </si>
  <si>
    <t>CFX</t>
    <phoneticPr fontId="1" type="noConversion"/>
  </si>
  <si>
    <t>LED 출력 끄기</t>
    <phoneticPr fontId="1" type="noConversion"/>
  </si>
  <si>
    <t>- LED 끄기 구현</t>
    <phoneticPr fontId="1" type="noConversion"/>
  </si>
  <si>
    <t>메모리 에러 LED  출력</t>
    <phoneticPr fontId="1" type="noConversion"/>
  </si>
  <si>
    <t>NRF 리셋</t>
    <phoneticPr fontId="1" type="noConversion"/>
  </si>
  <si>
    <t>인터럽트 리셋</t>
    <phoneticPr fontId="1" type="noConversion"/>
  </si>
  <si>
    <t>DMA 리셋</t>
    <phoneticPr fontId="1" type="noConversion"/>
  </si>
  <si>
    <t>I2C 설정</t>
    <phoneticPr fontId="1" type="noConversion"/>
  </si>
  <si>
    <t>SPI 설정</t>
    <phoneticPr fontId="1" type="noConversion"/>
  </si>
  <si>
    <t>주기 반복용 인터럽트 설정</t>
    <phoneticPr fontId="1" type="noConversion"/>
  </si>
  <si>
    <t>인터럽트 활성화</t>
    <phoneticPr fontId="1" type="noConversion"/>
  </si>
  <si>
    <t>PMIC 전원 끔</t>
    <phoneticPr fontId="1" type="noConversion"/>
  </si>
  <si>
    <t>가속도 센서 초기화</t>
    <phoneticPr fontId="1" type="noConversion"/>
  </si>
  <si>
    <t>CFX 초기화 에러 LED 출력</t>
    <phoneticPr fontId="1" type="noConversion"/>
  </si>
  <si>
    <t>배터리 모니터링 경계 값</t>
    <phoneticPr fontId="1" type="noConversion"/>
  </si>
  <si>
    <t>에러 플래그 제거</t>
    <phoneticPr fontId="1" type="noConversion"/>
  </si>
  <si>
    <t>인터럽트 서비스 루틴, I2C</t>
    <phoneticPr fontId="1" type="noConversion"/>
  </si>
  <si>
    <t>인터럽트 서비스 루틴, SPI 에러</t>
    <phoneticPr fontId="1" type="noConversion"/>
  </si>
  <si>
    <t>인터럽트 서비스 루틴, DMA 0</t>
    <phoneticPr fontId="1" type="noConversion"/>
  </si>
  <si>
    <t>인터럽트 서비스 루틴, DMA 1</t>
    <phoneticPr fontId="1" type="noConversion"/>
  </si>
  <si>
    <t xml:space="preserve">에러 확인 </t>
    <phoneticPr fontId="1" type="noConversion"/>
  </si>
  <si>
    <t>LED 출력 상태 확인</t>
    <phoneticPr fontId="1" type="noConversion"/>
  </si>
  <si>
    <t>사용자 인터페이스 제어</t>
    <phoneticPr fontId="1" type="noConversion"/>
  </si>
  <si>
    <t xml:space="preserve">맵 번호 업데이트 </t>
    <phoneticPr fontId="1" type="noConversion"/>
  </si>
  <si>
    <t xml:space="preserve">LED 패턴 출력 </t>
    <phoneticPr fontId="1" type="noConversion"/>
  </si>
  <si>
    <t xml:space="preserve">PMIC On/Off </t>
    <phoneticPr fontId="1" type="noConversion"/>
  </si>
  <si>
    <t>NRF On/Off</t>
    <phoneticPr fontId="1" type="noConversion"/>
  </si>
  <si>
    <t>공유메모리 접근, USB 커넥터 상태 읽기</t>
    <phoneticPr fontId="1" type="noConversion"/>
  </si>
  <si>
    <t>공유메모리 접근, 전원 버튼 상태 읽기</t>
    <phoneticPr fontId="1" type="noConversion"/>
  </si>
  <si>
    <t>공유메모리 접근, PMIC On/Off</t>
    <phoneticPr fontId="1" type="noConversion"/>
  </si>
  <si>
    <t>공유메모리 접근, 저전력 모드 진입</t>
    <phoneticPr fontId="1" type="noConversion"/>
  </si>
  <si>
    <t>공유메모리 접근, 배터리 전압 교정값 읽기</t>
    <phoneticPr fontId="1" type="noConversion"/>
  </si>
  <si>
    <t>공유메모리 접근, 배터리 전압 값 읽기</t>
    <phoneticPr fontId="1" type="noConversion"/>
  </si>
  <si>
    <t>공유메모리 접근, PCM 출력 모드 변경</t>
    <phoneticPr fontId="1" type="noConversion"/>
  </si>
  <si>
    <t>공유메모리 접근, next PCM 출력 모드 변경</t>
    <phoneticPr fontId="1" type="noConversion"/>
  </si>
  <si>
    <t>공유메모리 접근, PCM 출력 모드 읽기</t>
    <phoneticPr fontId="1" type="noConversion"/>
  </si>
  <si>
    <t>공유메모리 접근, 내부기 연결 검사용 PCM 출력 상태 읽기</t>
    <phoneticPr fontId="1" type="noConversion"/>
  </si>
  <si>
    <t>공유메모리 접근, 내부기 연결 검사용 PCM 출력 상태 지우기</t>
    <phoneticPr fontId="1" type="noConversion"/>
  </si>
  <si>
    <t>공유메모리 접근, 사용자 설정 값 로딩 여부 확인</t>
    <phoneticPr fontId="1" type="noConversion"/>
  </si>
  <si>
    <t>공유메모리 접근, 맵 변경 명령 전달</t>
    <phoneticPr fontId="1" type="noConversion"/>
  </si>
  <si>
    <t>자극 알림 출력</t>
    <phoneticPr fontId="1" type="noConversion"/>
  </si>
  <si>
    <t>공유메모리 접근, 맵 데이터 로딩여부 확인</t>
    <phoneticPr fontId="1" type="noConversion"/>
  </si>
  <si>
    <t>공유메모리 접근, 현재 맵 데이터 주소 반환</t>
    <phoneticPr fontId="1" type="noConversion"/>
  </si>
  <si>
    <t>공유메모리 접근, CM3 계산된 자극 파라미터 주소 반환</t>
    <phoneticPr fontId="1" type="noConversion"/>
  </si>
  <si>
    <t>공유메모리 접근, 계산된 자극 알림 크기 전달</t>
    <phoneticPr fontId="1" type="noConversion"/>
  </si>
  <si>
    <t>공유메모리 접근,자극 알림 신호 On/Off 전달</t>
    <phoneticPr fontId="1" type="noConversion"/>
  </si>
  <si>
    <t>공유메모리 접근, CM3 오디오 신호처리 파라미터 계산 완료 전달</t>
    <phoneticPr fontId="1" type="noConversion"/>
  </si>
  <si>
    <t>공유메모리 접근, 백텔 설정 값 전달</t>
    <phoneticPr fontId="1" type="noConversion"/>
  </si>
  <si>
    <t>공유메모리 접근, 현재 자극 출력 값 읽기</t>
    <phoneticPr fontId="1" type="noConversion"/>
  </si>
  <si>
    <t>공유메모리 접근, 오디오 입력(ADC) 최대값 읽기</t>
    <phoneticPr fontId="1" type="noConversion"/>
  </si>
  <si>
    <t>공유메모리 접근, 내부기 ID 읽기</t>
    <phoneticPr fontId="1" type="noConversion"/>
  </si>
  <si>
    <t>공유메모리 접근, 연결된 내부기 리콘용 접속 키 읽기</t>
    <phoneticPr fontId="1" type="noConversion"/>
  </si>
  <si>
    <t>공유메모리 접근, 연결된 내부기 번호 전달</t>
    <phoneticPr fontId="1" type="noConversion"/>
  </si>
  <si>
    <t>공유메모리 접근, 연결된 내부기 사용자 이름 읽기</t>
    <phoneticPr fontId="1" type="noConversion"/>
  </si>
  <si>
    <t>공유메모리 접근, 연결된 내부기 수술위치 읽기</t>
    <phoneticPr fontId="1" type="noConversion"/>
  </si>
  <si>
    <t>공유메모리 접근, 연결된 내부기의 사용가능한 맵 개수 읽기</t>
    <phoneticPr fontId="1" type="noConversion"/>
  </si>
  <si>
    <t>공유메모리 접근, 연결된 내부기의 사용 가능한 맵 인덱스 읽기</t>
    <phoneticPr fontId="1" type="noConversion"/>
  </si>
  <si>
    <t>공유메모리 접근, 연결된 내부기의 맵 스탬프 읽기</t>
    <phoneticPr fontId="1" type="noConversion"/>
  </si>
  <si>
    <t>공유메모리 접근, 연결된 내부기 맵 생성일자 읽기</t>
    <phoneticPr fontId="1" type="noConversion"/>
  </si>
  <si>
    <t>공유메모리 접근, 맵 번호 읽기</t>
    <phoneticPr fontId="1" type="noConversion"/>
  </si>
  <si>
    <t>공유메모리 접근, 맵 번호 변경</t>
    <phoneticPr fontId="1" type="noConversion"/>
  </si>
  <si>
    <t>공유메모리 접근, 자극 볼륨 변경</t>
    <phoneticPr fontId="1" type="noConversion"/>
  </si>
  <si>
    <t>공유메모리 접근, 자극 볼륨 읽기</t>
    <phoneticPr fontId="1" type="noConversion"/>
  </si>
  <si>
    <t>공유메모리 접근, 오디오 볼륨 변경</t>
    <phoneticPr fontId="1" type="noConversion"/>
  </si>
  <si>
    <t>공유메모리 접근, 오디오 볼륨 읽기</t>
    <phoneticPr fontId="1" type="noConversion"/>
  </si>
  <si>
    <t>공유메모리 접근, LED 알림 설정 변경</t>
    <phoneticPr fontId="1" type="noConversion"/>
  </si>
  <si>
    <t>공유메모리 접근, LED 알림 설정 읽기</t>
    <phoneticPr fontId="1" type="noConversion"/>
  </si>
  <si>
    <t>공유메모리 접근, 자극 알림 설정 읽기</t>
    <phoneticPr fontId="1" type="noConversion"/>
  </si>
  <si>
    <t>공유메모리 접근, 자극 알림 설정 변경</t>
    <phoneticPr fontId="1" type="noConversion"/>
  </si>
  <si>
    <t>I2C 드라이버 상태 읽기</t>
    <phoneticPr fontId="1" type="noConversion"/>
  </si>
  <si>
    <t>- 해당 유닛을 실행시키고 디버깅용 중단점을 적용하여 출력 데이터를 데이터를 확인한다.</t>
    <phoneticPr fontId="1" type="noConversion"/>
  </si>
  <si>
    <t>- 해당 유닛을 실행시키고 디버깅용 중단점을 적용하여 출력 데이터를 확인한다.</t>
    <phoneticPr fontId="1" type="noConversion"/>
  </si>
  <si>
    <t>- 해당 유닛을 실행시키고 PCM 출력 버퍼의 데이터를 확인한다.</t>
    <phoneticPr fontId="1" type="noConversion"/>
  </si>
  <si>
    <t xml:space="preserve">I2C 사용 가능 업데이트 </t>
    <phoneticPr fontId="1" type="noConversion"/>
  </si>
  <si>
    <t>CM3</t>
    <phoneticPr fontId="1" type="noConversion"/>
  </si>
  <si>
    <t>I2C 사용 불가능 업데이트</t>
    <phoneticPr fontId="1" type="noConversion"/>
  </si>
  <si>
    <t>I2C 사용 가능 상태 읽기</t>
    <phoneticPr fontId="1" type="noConversion"/>
  </si>
  <si>
    <t>PMIC 레지스터 쓰기</t>
    <phoneticPr fontId="1" type="noConversion"/>
  </si>
  <si>
    <t>PMIC 레지스터 읽기</t>
    <phoneticPr fontId="1" type="noConversion"/>
  </si>
  <si>
    <t>FPGA 레지스터 쓰기</t>
    <phoneticPr fontId="1" type="noConversion"/>
  </si>
  <si>
    <t>FPGA 레지스터 읽기</t>
    <phoneticPr fontId="1" type="noConversion"/>
  </si>
  <si>
    <t>FPGA FIFO 읽기</t>
    <phoneticPr fontId="1" type="noConversion"/>
  </si>
  <si>
    <t>SPI 송신 데이터 준비 완료 전달</t>
    <phoneticPr fontId="1" type="noConversion"/>
  </si>
  <si>
    <t>SPI 송신 완료 전달</t>
    <phoneticPr fontId="1" type="noConversion"/>
  </si>
  <si>
    <t>내부기 제어 상태 변경 플래그 삭제</t>
    <phoneticPr fontId="1" type="noConversion"/>
  </si>
  <si>
    <t>내부기 제어 상태 변경</t>
    <phoneticPr fontId="1" type="noConversion"/>
  </si>
  <si>
    <t>Tx PMIC 초기화</t>
    <phoneticPr fontId="1" type="noConversion"/>
  </si>
  <si>
    <t>FPGA 초기화</t>
    <phoneticPr fontId="1" type="noConversion"/>
  </si>
  <si>
    <t>내부기 초기화</t>
    <phoneticPr fontId="1" type="noConversion"/>
  </si>
  <si>
    <t>내부기 통신 통로 확보</t>
    <phoneticPr fontId="1" type="noConversion"/>
  </si>
  <si>
    <t>내부기 자극용 10v 활성화</t>
    <phoneticPr fontId="1" type="noConversion"/>
  </si>
  <si>
    <t>시험 준비 및 초기 조건</t>
    <phoneticPr fontId="1" type="noConversion"/>
  </si>
  <si>
    <t>BLE 설정 수신 데이터 인출</t>
    <phoneticPr fontId="1" type="noConversion"/>
  </si>
  <si>
    <t>매핑 수신 데이터 인출</t>
    <phoneticPr fontId="1" type="noConversion"/>
  </si>
  <si>
    <t xml:space="preserve">블루투스 광고 이름 설정 </t>
    <phoneticPr fontId="1" type="noConversion"/>
  </si>
  <si>
    <t xml:space="preserve">리모콘 제어 </t>
    <phoneticPr fontId="1" type="noConversion"/>
  </si>
  <si>
    <t xml:space="preserve">실시간 자극 출력 </t>
    <phoneticPr fontId="1" type="noConversion"/>
  </si>
  <si>
    <t>특정 자극 출력</t>
    <phoneticPr fontId="1" type="noConversion"/>
  </si>
  <si>
    <t xml:space="preserve">NRF Off 명령 </t>
    <phoneticPr fontId="1" type="noConversion"/>
  </si>
  <si>
    <t xml:space="preserve">내부기 연결 확인(매핑 연결) </t>
    <phoneticPr fontId="1" type="noConversion"/>
  </si>
  <si>
    <t xml:space="preserve">내부기 연결 확인(실시간 자극) </t>
    <phoneticPr fontId="1" type="noConversion"/>
  </si>
  <si>
    <t>내부기 자극 파라미터 설정</t>
    <phoneticPr fontId="1" type="noConversion"/>
  </si>
  <si>
    <t>매핑 명령 수행 완료</t>
    <phoneticPr fontId="1" type="noConversion"/>
  </si>
  <si>
    <t>리모콘 수신 데이터 인출</t>
    <phoneticPr fontId="1" type="noConversion"/>
  </si>
  <si>
    <t>블루투스 통신 모듈</t>
    <phoneticPr fontId="1" type="noConversion"/>
  </si>
  <si>
    <t>클럭 설정</t>
    <phoneticPr fontId="1" type="noConversion"/>
  </si>
  <si>
    <t>전원 제어용 핀 설정</t>
    <phoneticPr fontId="1" type="noConversion"/>
  </si>
  <si>
    <t>주기반복 타이머 설정</t>
    <phoneticPr fontId="1" type="noConversion"/>
  </si>
  <si>
    <t xml:space="preserve">Off Command 확인 </t>
    <phoneticPr fontId="1" type="noConversion"/>
  </si>
  <si>
    <t>장치 정보 파라미터 읽기</t>
    <phoneticPr fontId="1" type="noConversion"/>
  </si>
  <si>
    <t xml:space="preserve">BLE 광고 이름 설정 </t>
    <phoneticPr fontId="1" type="noConversion"/>
  </si>
  <si>
    <t>타이머 설정 비활성화</t>
    <phoneticPr fontId="1" type="noConversion"/>
  </si>
  <si>
    <t>블루투스 스택 초기화</t>
    <phoneticPr fontId="1" type="noConversion"/>
  </si>
  <si>
    <t>저전력 모드 진입</t>
    <phoneticPr fontId="1" type="noConversion"/>
  </si>
  <si>
    <t>SPI 송신</t>
    <phoneticPr fontId="1" type="noConversion"/>
  </si>
  <si>
    <t>SPI 송신 데이터 쓰기</t>
    <phoneticPr fontId="1" type="noConversion"/>
  </si>
  <si>
    <t xml:space="preserve">SPI 슬레이브 장치 데이터 송신 알림 읽기  </t>
    <phoneticPr fontId="1" type="noConversion"/>
  </si>
  <si>
    <t xml:space="preserve">SPI 수신 </t>
    <phoneticPr fontId="1" type="noConversion"/>
  </si>
  <si>
    <t>SPI 수신 데이터 복사</t>
    <phoneticPr fontId="1" type="noConversion"/>
  </si>
  <si>
    <t>블루투스 데이터 수신</t>
    <phoneticPr fontId="1" type="noConversion"/>
  </si>
  <si>
    <t>NRF</t>
    <phoneticPr fontId="1" type="noConversion"/>
  </si>
  <si>
    <t>없음</t>
    <phoneticPr fontId="1" type="noConversion"/>
  </si>
  <si>
    <t>신호처리 모듈</t>
    <phoneticPr fontId="1" type="noConversion"/>
  </si>
  <si>
    <t>- 텔레코일 사용 플래그를 활성화하고, 스피커에 음악을 재생시킨 상태에서 텔레코일에 스피커를 가까이 놓았다 멀리 떼는 동작을 반복한다.
- 텔레코일 사용 플래그를 활성화하고, 스피커에 음악을 재생시킨 상태에서 텔레코일에 스피커를 가까이 놓았다 멀리 떼는 동작을 반복한다.
- Ezairo DAC 출력에 이어폰을 연결하여 소리를 청취한다.</t>
    <phoneticPr fontId="1" type="noConversion"/>
  </si>
  <si>
    <t>측정/ 검토 내용</t>
    <phoneticPr fontId="1" type="noConversion"/>
  </si>
  <si>
    <t>통과</t>
    <phoneticPr fontId="1" type="noConversion"/>
  </si>
  <si>
    <t>- 타이머 중지 확인</t>
    <phoneticPr fontId="1" type="noConversion"/>
  </si>
  <si>
    <t>- watch dog, GPI, Timer 인터럽트 활성화.</t>
    <phoneticPr fontId="1" type="noConversion"/>
  </si>
  <si>
    <t>저전력 모드 전환, IOC 비활성화</t>
    <phoneticPr fontId="1" type="noConversion"/>
  </si>
  <si>
    <t>저전력 모드 전환,  입/출력단 비활성화</t>
    <phoneticPr fontId="1" type="noConversion"/>
  </si>
  <si>
    <t>저전력 모드 전환, FIFO 비활성화</t>
    <phoneticPr fontId="1" type="noConversion"/>
  </si>
  <si>
    <t>저전력 모드 전환, FIFO 버퍼 초기화</t>
    <phoneticPr fontId="1" type="noConversion"/>
  </si>
  <si>
    <t>저전력 모드 전환,  모드 DIO 설정</t>
    <phoneticPr fontId="1" type="noConversion"/>
  </si>
  <si>
    <t>저전력 모드 전환, 클럭 조정</t>
    <phoneticPr fontId="1" type="noConversion"/>
  </si>
  <si>
    <t>저전력 모드 전환,  타이머 설정</t>
    <phoneticPr fontId="1" type="noConversion"/>
  </si>
  <si>
    <t>저전력 모드 전환, 인터럽트 설정</t>
    <phoneticPr fontId="1" type="noConversion"/>
  </si>
  <si>
    <t>- 디버깅 모드
- 텔레코일 입력 FIFO 비활성화
- 입력 데이터를 테스트 벡터로 대체</t>
    <phoneticPr fontId="1" type="noConversion"/>
  </si>
  <si>
    <t>-  양수, 음수로 구성된 데이터를 텔레코일 입력용 버퍼에 저장하고 FC_0를 실행한 결과 모든 데이터가 양수로 확인됨.</t>
    <phoneticPr fontId="1" type="noConversion"/>
  </si>
  <si>
    <t>- 음악이 재생되는 이어폰이 텔레코일에 접근하면 텔레코일 신호 감지가 확인되고, 떨어지면 약 5초후에 텔레코일 신호 미감지로 변경됨.</t>
    <phoneticPr fontId="1" type="noConversion"/>
  </si>
  <si>
    <t>- 텔레코일 사용 플래그 활성화 된 경우 : 피에조가 제거된 스피커가 텔레코일에 접근하면 음악과 마이크 주변소리가 합쳐진 오디오 신호가 DAC 출력(이어폰 출력)으로 확인됨, 스피커가 떨어지면 마이크 주변 소리만 들림.
- 텔레코일 사용 플래그 비활성화 된 경우 : 스피커가 텔레코일에 접근함에 상관없이 마이크 주변 소리만 들림.</t>
    <phoneticPr fontId="1" type="noConversion"/>
  </si>
  <si>
    <t xml:space="preserve">MATHLIB_DB10_PWR_m8p16_frac48의 고정소수점 연산 차이로 인하여 볼륨 1일때 약 0.1%,  볼륨 10일때 약 0.4%의 게인차이가 발생됨 확인.
</t>
    <phoneticPr fontId="1" type="noConversion"/>
  </si>
  <si>
    <t>- 테스터 벡터로 1msec 데이터를 업데이트하면 FIFO 동작에 의해서 자동으로 쉬프팅되는 것을 확인함.(512개 데이터)</t>
    <phoneticPr fontId="1" type="noConversion"/>
  </si>
  <si>
    <t>- Win_DFT_R_Forward 라이브러리와 MALLAB의 연산차이를 확인하였으며, 부동소수정 및 고정소수점 연산의 차이로 무시할 수 있음.
- Win_DFT_R_Forward 라이브러리, Blcok Point 연산에의한 1/4크기 감소 확인.
- vMag 라이브러리와 MALLAB의 연산차이를 확인하였으며, 부동소수정 및 고정소수점 연산의 차이로 무시할 수 있음.
- Win_DFT_R_Forward 라이브러리, 1/2 크기 감소 확인</t>
    <phoneticPr fontId="1" type="noConversion"/>
  </si>
  <si>
    <t>- 테스트 벡터와 유사한 출력 확인.</t>
    <phoneticPr fontId="1" type="noConversion"/>
  </si>
  <si>
    <t>- 시간영역에서테스트 벡터 Pure tone 크기 184 -&gt; 최종 결과 183 확인 됨.</t>
    <phoneticPr fontId="1" type="noConversion"/>
  </si>
  <si>
    <t>- 테스터 벡터 C=219, 볼륨 1, 볼륨적용된 C : 153,  확인된 볼륨 적용된 C : 153</t>
    <phoneticPr fontId="1" type="noConversion"/>
  </si>
  <si>
    <t>- 테스트 벡터 A = 37.8069, B=  -46.5458 ,  확인된 값 A =37.6093,  B= -46.8046</t>
    <phoneticPr fontId="1" type="noConversion"/>
  </si>
  <si>
    <t>- 테스터 벡터 채널 대표값 185, 자극 출력값 52, 확인된  자극 출력 값 : 50</t>
    <phoneticPr fontId="1" type="noConversion"/>
  </si>
  <si>
    <t>- 채널당 1프레임 할당시,  비트스트리에서 자극용 헤더, 자극 전극 번호, 자극 출력 레벨 확인.
- 채널당 2프레임 할당시,  자극용 PCM 데이터 Nop  데이터 비트스트림 확인</t>
    <phoneticPr fontId="1" type="noConversion"/>
  </si>
  <si>
    <t>- 채널당 프렘 1~4에대한 분기 및 PCM 생성 데이터 확인</t>
    <phoneticPr fontId="1" type="noConversion"/>
  </si>
  <si>
    <t>- 모든 DIO 입력핀 설정 코드에 저전력 모드와 리셋에서 진입 시에 따른 분기 적용됨.
- 3.3V PMIC 출력 및 Low 설정 구현됨.
- NRF 통신 핀 입력 설정 구현 완려.
- LED 핀 출력 및 High 설정 구현됨.
- I2C 핀 출력 및 Low 설정 구현됨.</t>
  </si>
  <si>
    <t>- 모든 인터럽트 중지 구현됨.
- 펜딩된 인터럽트 삭제 구현됨.</t>
  </si>
  <si>
    <t>- 저전력 모드 비활성화 구현됨.</t>
  </si>
  <si>
    <t>- 전원 안정화 대기 구현됨.</t>
  </si>
  <si>
    <t>-Hear Core 리셋 중지 구현됨.
-CM3 리셋 중지 구현됨.</t>
  </si>
  <si>
    <t>- 외부클럭 비활성화 구현됨.
- 시스템 클럭 15.36MHz 설정 구현됨.
- 유저 클럭 시스템 클럭 32분주(0.48MHz) 구현됨.
- 모든 MCU 동일 클럭 설정 구현됨.</t>
  </si>
  <si>
    <t>- 메모리 접근 우선순위 CFX 최우선 설정 구현됨.
- 상태 레지스터 초기화 설정 구현됨.
- 루프스텍 초기화 설정 구현됨.</t>
  </si>
  <si>
    <t>- DAC 비활성화 구현됨.
- DMIC 비활성화 구현됨.
- PCM 출력 비활성화 구현됨.
- ADC 비활성화 구현됨.
- LSAD 비활성화 구현됨.
- 오디어 입력 동적영역 확장기능 비활성화 구현됨.
- 마이크용 09.V 전원 비활성화 구현됨.
- IOC 비활성화 구현됨.</t>
  </si>
  <si>
    <t>- FIFO 메모리 초기화(ADC 입력, PCM출력, DAC출력, 텔레코일 검출용 ABS출력 버퍼) 구현됨.
- FIFO 설정(ADC 입력 4개, PCM 출력, DAC출력 2개, 오디오 신호처리용 오디오 업데이트 버퍼, 텔레코일 검출 버퍼) 구현됨.</t>
  </si>
  <si>
    <t>- ADC 입력과 FIFO 관계 설정 구현됨.
- PCM 입력과 FIFO 관계 비활성화 설정 구현.
- DAC 출력과 FIFO, PCM 출력과 FIFO 관계 설정 구현됨.
- PCMO, PCM1과 동시에 연결된 FIFO A0_4는  double access mode 해제 구현됨.</t>
  </si>
  <si>
    <t>- 오디오 입력소스 ADC0~3 설정 구현됨.
- IOC 입력 소스 Decimation Filter 출력으로 설정 구현됨.
- SDM 입력은 interpolation Filter 출력으로 설정 구현됨.
-interploation 및 SDM에 rounding 적용.</t>
  </si>
  <si>
    <t>- 샘플링 주파수  16kHz 설정 구현됨.
-  마이크 입력  ADC 6dB 프리엠프 게인 적용 및 활성화.</t>
  </si>
  <si>
    <t>- DAC  활성화 설정 구현됨.
- 고전력 모드 비활성화 구현됨.</t>
  </si>
  <si>
    <t>- DIO 5번 핀 Vreg로 레퍼런스 및 DIO 5번 LSAD 입력으로 설정 구현됨.</t>
  </si>
  <si>
    <t>- function chain 우선순위 모두 같음, Function chain 활성화 설정 구현됨.</t>
  </si>
  <si>
    <t>- CM3 인터럽트만 설정 및 활성화 구현됨.</t>
  </si>
  <si>
    <t>- CM3, I2C용 DIO 설정 구현됨.
- CM3, SPI용 DIO 설정 구현됨.
- CM3  통신 보조핀 DIO 설정 구현됨.
- CM3, NRF 전원제어용 DIO 설정 구현됨.
- CM3, NRF 리셋용 DIO 설정 구현됨.
- CM3, LED 제어용 DIO 설정 구현됨.</t>
  </si>
  <si>
    <t>- Hear core 시작 구현됨.
- CM3 core 시작 구현됨.</t>
  </si>
  <si>
    <t>- CM3 초기화 플래그 대기 구현됨.</t>
  </si>
  <si>
    <t>- CM3, NRF 리셋 출력 후, NRF 리셋 제어용 DIO 입력으로 설정 구현됨.</t>
  </si>
  <si>
    <t>-인터럽트 소스  watchdog, FIFO_5, Hear_0, Hear_1, Hear_2, GPIO, CM3_0 성정 구현됨.</t>
  </si>
  <si>
    <t>- 인터럽트 소스별 플래그 변경 코드 구현됨.</t>
  </si>
  <si>
    <t>- DAC 비활성화 구현됨.
- DMIC 비활성화 구현됨.
- PCM 출력 비활성화 구현됨.
- ADC 비활성화 구현됨.
- LSAD 비활성화 구현됨.
- 오디어 입력 동적영역 확장기능 비활성화 구현됨.
- 마이크용 09.V 전원 비활성화 구현됨.</t>
  </si>
  <si>
    <t>- IOC 비활성화 구현됨.</t>
  </si>
  <si>
    <t>- FIFO 블록 사이즈 0으로 설정 구현됨.</t>
  </si>
  <si>
    <t>- 3.3V PMIC Low로 설정 구현됨.
- 가속도 센서 입력 핀, 인터럽트 및 RISING Edge 설정 구현됨.
- 휴대보관함 뚜껑 열림 핀, 인터럽트 및 rising Edge  설정 구현.
- LED 제어핀 Hi로 설정 구현됨.
- I2C 제어핀 Low로 설정 구현됨.</t>
  </si>
  <si>
    <t>- 저전력 모드 진입 라이브러리 호출 구현됨.</t>
  </si>
  <si>
    <t>- 시스템 클럭 20kHz로 설정 구현됨.</t>
  </si>
  <si>
    <t>- 타이머 20kHz에서 1msec 인터럽트 발생 시작 구현됨.</t>
  </si>
  <si>
    <t>- EEPROM 라이브러리를 사용한 읽기 구현됨.
- 256개의 windowing Coeffient를 Hear 공유메모리에 복사 구현됨.</t>
  </si>
  <si>
    <t>- EEPROM 라이브러리를 사용한 읽기 구현됨.
- 내부기 시리얼, 수술위치, 사용자 닉네임, 리모콘 보안키 읽기 구현됨.
- CM3용 공유메모리에 복사 구현됨.</t>
  </si>
  <si>
    <t>- EEPROM 라이브러리를 사용한 읽기 구현됨.
- 배털 교정값 일기 및 공유 메모리 공유 구현됨.
- CM3용 공유메모리에 복사 구현됨.</t>
  </si>
  <si>
    <t>- EEPROM 라이브러리를 사용한 읽기 구현됨.
- 연결된 내부기 번호(1~4)에 해당하는 맵 스템프 읽기, 4개의 맵 생성 일자 읽기 구현, 맵 생성일자가 0으로 설정되어 있으면 사용할 수 없는 맵 인덱스로 변경 구현됨.
- CM3용 공유메모리에 복사 구현됨.</t>
  </si>
  <si>
    <t>- EEPROM 라이브러리를 사용한 읽기 구현됨.
- 연결된 내부기 번호(1~4)에 해당하는 사용자 설정 값 읽기 구현됨.
- CM3용 공유메모리에 복사 구현됨.</t>
  </si>
  <si>
    <t>- EEPROM 라이브러리를 사용한 읽기 구현됨.
- 연결된 내부기 번호(1~4)와 현재 맵 번호에 해당하는 매핑 데이터 읽기 구현됨.
-CM3용 공유메모리에 복사 구현됨.</t>
  </si>
  <si>
    <t>- EEPROM 라이브러리를 사용한 읽기 구현됨.
- 사용가능한 주파수 대역수에 해당하는 대역통과 인덱스 읽기 구현됨.</t>
  </si>
  <si>
    <t>- EEPROM 라이브러리를 사용한 쓰기 구현됨.
- 연결된 내부기 번호(1~4)에 해당하는 사용자 설정 값 쓰기  구현됨.</t>
  </si>
  <si>
    <t>- EEPROM 라이브러리를 사용한 쓰기 구현됨.
- CM3에서 전달 받은 내부기 정보, 사용자 설정 값, 매핑 데이터 쓰기 구현됨.</t>
  </si>
  <si>
    <t>- EEPROM 라이브러리를 사용한 읽기 구현됨.
- 연결된 내부기 번호(1~4)에 해당하는 내부기 정보, 사용자 설정값, 맵 데이터 읽기 구현됨.
- CM3용 공유메모리에 복사 구현됨.</t>
  </si>
  <si>
    <t>- EEPROM 라이브러리를 사용한 쓰기 구현됨.
- CM3에서 전달 받은 맵 번호가 0이면 내부기 정보, 사용자 설정값, 맵 데이터를 초기값으로 쓴다.
- CM3에서 전달 받은 맵 번호가 0이 아니면 해당는 맵 데이터를 초기값으로 쓰기 구현됨.</t>
  </si>
  <si>
    <t>-LSAD 입력값을 읽어 CM3에 공유 구현됨.</t>
  </si>
  <si>
    <t>-가속도 센서 입력 플래그를 읽어 CM3에 공유 구현됨.
-CM3에 공유 후, 가속도 센서 입력 플래그 지움 구현됨.</t>
  </si>
  <si>
    <t>- 3.3V PMIC에 할당된 DIO 출력 및 Low로 설정 구현됨.
- PCM 출력 비활성화 구현됨
- PCM, USB 연결 감지 공용 DIO핀을 USB 연결 감지 입력 핀으로 설정 구현됨.
- 가속도 센서, 휴대보관함 뚜껑에 할당되었던 인터럽트 해제 구현됨.</t>
  </si>
  <si>
    <t>- 3.3V PMIC에 할당된 DIO 출력 및 Low로 설정 구현됨.
- PCM, USB 연결 감지 공용 DIO핀을 PCM 출력 핀으로 설정 구현됨.
- PCM 활성화 구현됨.
- 가속도 센서 입력 핀, 인터럽트 및 RISING Edge 설정 구현됨.
- 휴대보관함 뚜껑에 할당 되었던 인터럽트 해제 구현됨.</t>
  </si>
  <si>
    <t>- 특정 입력데이터에서 최대값을 확인.</t>
    <phoneticPr fontId="1" type="noConversion"/>
  </si>
  <si>
    <t>사용 준비 상태 전송</t>
    <phoneticPr fontId="1" type="noConversion"/>
  </si>
  <si>
    <t>- 삼색 LED 출력 핀 Off 구현됨.
- 변수 초기화 : NA</t>
    <phoneticPr fontId="1" type="noConversion"/>
  </si>
  <si>
    <t>- NRF reset Pin을 High -&gt; Low-&gt;  High로 변경하는 동작 구현됨.
- 변수 초기화 : NA</t>
    <phoneticPr fontId="1" type="noConversion"/>
  </si>
  <si>
    <t>- NRF Off 명령 전달용 핀을  Low로 설정 구현됨.
- 변수 초기화 : NA</t>
    <phoneticPr fontId="1" type="noConversion"/>
  </si>
  <si>
    <t>- 인터럽트 비활성화 및 펜딩 인터럽트 삭제 구현됨.
- 변수 초기화 : NA</t>
    <phoneticPr fontId="1" type="noConversion"/>
  </si>
  <si>
    <t>- DMA 비활성화 및 상태 초기화 구현됨
- 변수 초기화 : NA</t>
    <phoneticPr fontId="1" type="noConversion"/>
  </si>
  <si>
    <t>- CFX에서 수신되는 CFX_0 인터럽트 활성화 구현됨
- 변수 초기화 : NA</t>
    <phoneticPr fontId="1" type="noConversion"/>
  </si>
  <si>
    <t>- I2C 인터페이스 초기화, I2C 인터페이스 마스터 설정, I2C 드라이버 상태 초기화 구현됨
- 변수 초기화 : NA</t>
    <phoneticPr fontId="1" type="noConversion"/>
  </si>
  <si>
    <t>- SPI 인터페이스 슬레이브 동작,  컨트롤러 DMA로 설정
-  SPI 전송 word 8bit 설정 구현됨.
-  SPI 송신 및 수신용 DMA 각각 구현됨.
- 변수 초기화 : 모든 변수 초기화 구현됨</t>
    <phoneticPr fontId="1" type="noConversion"/>
  </si>
  <si>
    <t>- 인터립트 활성화  구현.
- 변수 초기화 : NA</t>
    <phoneticPr fontId="1" type="noConversion"/>
  </si>
  <si>
    <t>- CM3에 사용 준비 상태를 CFX_CMD_0핀으로 전송 구현됨.
- 변수 초기화 : NA</t>
    <phoneticPr fontId="1" type="noConversion"/>
  </si>
  <si>
    <t>- PMIC Off 유닛 호출 구현됨
- 변수 초기화 : NA</t>
    <phoneticPr fontId="1" type="noConversion"/>
  </si>
  <si>
    <t>- 가속도 센서 레지스터 초기화 구현됨
- 가속도 센서 더블 클릭 시 인터럽트 구현됨
- 변수 초기화 : 초기화 구현됨</t>
    <phoneticPr fontId="1" type="noConversion"/>
  </si>
  <si>
    <t>- 적색 LED 점등 구현됨.
- 변수 초기화 : NA</t>
    <phoneticPr fontId="1" type="noConversion"/>
  </si>
  <si>
    <t>- 적색 LED 점등 구현됨
- 변수 초기화 : NA</t>
    <phoneticPr fontId="1" type="noConversion"/>
  </si>
  <si>
    <t>- 배터리 경계 교정값(4V 전원 입력에 대한 DAC출력 값) 읽기 유닛 호출
- 배터리 경계 교정값을 이용하여 정상 사용 시 3.36, 3.53, 3.62, 3.74, 3.92, 4.00V에 대한 DAC 출력 기준값 계산 구현됨
- 배터리 경계 교정값을 이용하여 충전 시 3.41, 3.58, 3.67, 3.79, 4.12V에 대한 DAC 출력 기준값 계산 구현됨
- 변수 초기화 : NA</t>
    <phoneticPr fontId="1" type="noConversion"/>
  </si>
  <si>
    <t>- 모든 에러 플레그 초기화 구현됨
- 변수 초기화 : NA</t>
    <phoneticPr fontId="1" type="noConversion"/>
  </si>
  <si>
    <t>- 인터럽트 서비스루틴에  I2C driver 및 인터페이스 상태에 따른 동작 구현됨
- 변수 초기화 : NA</t>
    <phoneticPr fontId="1" type="noConversion"/>
  </si>
  <si>
    <t>- SPI 에러 발생 시 인터럽트 서비스 루틴 구현됨.
- 변수 초기화 : NA</t>
    <phoneticPr fontId="1" type="noConversion"/>
  </si>
  <si>
    <t>- SPI를 통해서 데이터가 DMA 0에 수신되었을 경우 데이터 처리 구현됨.
- 변수 초기화 : NA</t>
    <phoneticPr fontId="1" type="noConversion"/>
  </si>
  <si>
    <t>- DAMA_1에서 SPI를 통해서 데이터가 송신 되었을 경우, 데이터 준비 플래그 초기화 구현됨.
- 변수 초기화 : NA</t>
    <phoneticPr fontId="1" type="noConversion"/>
  </si>
  <si>
    <t>- 에러 코드 반환 구현됨
- 변수 초기화 : NA</t>
    <phoneticPr fontId="1" type="noConversion"/>
  </si>
  <si>
    <t>- 현 시점 출력되는 LED 패턴 반환 구현됨
- 변수 초기화 : NA</t>
    <phoneticPr fontId="1" type="noConversion"/>
  </si>
  <si>
    <t>- 배터리 충전 커넥터 연결  상태에 따라 기준이 다른 배터리 잔량값 업데이트 구현됨
- 변수 초기화 : NA</t>
    <phoneticPr fontId="1" type="noConversion"/>
  </si>
  <si>
    <t>- LED 출력 패턴, 에러코드, USB 커넥터 연결상태, 배터리 잔량, 가속도 센서 입력(전원버튼 누름), 내부기 연결 상태, 매핑 연결 상태에 따른 흐름도 구현 됨.
- 변수 초기화 : 모든 변수 초기화 구현됨</t>
    <phoneticPr fontId="1" type="noConversion"/>
  </si>
  <si>
    <t>- 사용자 설정값 로딩 확인 후, 사용 가능한 맵 번호 검사 및 에러 업데이트 구현됨.
- 변수 초기화 : NA</t>
    <phoneticPr fontId="1" type="noConversion"/>
  </si>
  <si>
    <t>- 자극 알림 사용자 설정 값, 저전력 알림 시작, 매핑 알림 시작 상태에 따른 흐름도 구현 됨.
- 변수 초기화 : 카운터 초기화</t>
    <phoneticPr fontId="1" type="noConversion"/>
  </si>
  <si>
    <t>- LED 출력 패턴에 해당하는 LED 패턴 생성 구현
- 변수 초기화 : NA</t>
    <phoneticPr fontId="1" type="noConversion"/>
  </si>
  <si>
    <t>- 내부기 제어상태, 매팽 연결 상태, 매핑의 BLE off  명령, 시스템의 BLE off 명령에 따른 BLE on/Off 제어 흐름 구현됨.
- 변수 초기화 : 구현됨.</t>
    <phoneticPr fontId="1" type="noConversion"/>
  </si>
  <si>
    <t>- PMIC On/Off 값을 공유 메모리의 해당 위치에 쓰기 구현됨
- 변수 초기화 : NA</t>
    <phoneticPr fontId="1" type="noConversion"/>
  </si>
  <si>
    <t>- 해당하는 공유 메모리 값 반환 및 초기화 구현됨 
- 변수 초기화 : NA</t>
    <phoneticPr fontId="1" type="noConversion"/>
  </si>
  <si>
    <t>- PMIC On/Off 유닛으로 PMIC Off 명령 전달 구현됨.
- 해당하는 공유 메모리에 저전력 모드 진입 값 쓰기 구현됨.
- 변수 초기화 : NA</t>
    <phoneticPr fontId="1" type="noConversion"/>
  </si>
  <si>
    <t>공유메모리 접근, PCM 출력 버퍼 데이터 채우기</t>
    <phoneticPr fontId="1" type="noConversion"/>
  </si>
  <si>
    <t>- 입력 데이터 및 데이터 인덱스를 사용하여 해당하는 공유 메모리 버퍼에 데이트 쓰기 구현됨
- 변수 초기화 : NA</t>
    <phoneticPr fontId="1" type="noConversion"/>
  </si>
  <si>
    <t>- 해당하는 공유 메모리 값 반환 구현됨
- 변수 초기화 : NA</t>
    <phoneticPr fontId="1" type="noConversion"/>
  </si>
  <si>
    <t>- 해당하는 공유 메모리에 PCM 연결 검사용 플래그 지우기 구현됨
- 변수 초기화 : NA</t>
    <phoneticPr fontId="1" type="noConversion"/>
  </si>
  <si>
    <t>- 해당하는 공유 메모리에 맵 변경 명령 쓰기 구현됨
- 해당하는 공유 메모리에 맵 데이터 로딩 상태 지우기 구현됨.
- 변수 초기화 : NA</t>
    <phoneticPr fontId="1" type="noConversion"/>
  </si>
  <si>
    <t>- 해당하는 공유 메모리 주소값 반환 구현됨
- 변수 초기화 : NA</t>
    <phoneticPr fontId="1" type="noConversion"/>
  </si>
  <si>
    <t>- 해당하는 공유 메모리에 자극 알림 값(255Lv) 값  쓰기 구현됨
- 변수 초기화 : NA</t>
    <phoneticPr fontId="1" type="noConversion"/>
  </si>
  <si>
    <t>- 해당하는 공유 메모리에 next PCM 모드 값 쓰기 구현됨
- 변수 초기화 : NA</t>
    <phoneticPr fontId="1" type="noConversion"/>
  </si>
  <si>
    <t>- 해당하는 공유 메모리에 PCM 모드 값 쓰기 구현됨
- 변수 초기화 : NA</t>
    <phoneticPr fontId="1" type="noConversion"/>
  </si>
  <si>
    <t>- 해당하는 공유 메모리에 자극 알림 On/Off값  쓰기 구현됨
- 변수 초기화 : NA</t>
    <phoneticPr fontId="1" type="noConversion"/>
  </si>
  <si>
    <t>- 해당하는 공유 메모리에 신호처리 파라미터 계산 완료 상태 쓰기 구현됨
- 변수 초기화 : NA</t>
    <phoneticPr fontId="1" type="noConversion"/>
  </si>
  <si>
    <t>- 해당하는 공유 메모리에 백텔 설정값 쓰기 구현됨
- 변수 초기화 : NA</t>
    <phoneticPr fontId="1" type="noConversion"/>
  </si>
  <si>
    <t>-  연결된 내부기 번호에 해당하는 공유 메모리 값을 읽어 32bit 정수형 데이로 변환 후 반환 구현 됨
- 변수 초기화 : NA</t>
    <phoneticPr fontId="1" type="noConversion"/>
  </si>
  <si>
    <t>공유메모리 접근, 연결된 내부기 번호 읽기</t>
    <phoneticPr fontId="1" type="noConversion"/>
  </si>
  <si>
    <t>- 해당하는 공유메모리의 값 반환 구현됨
- 변수 초기화 : NA</t>
    <phoneticPr fontId="1" type="noConversion"/>
  </si>
  <si>
    <t>- 해당하는 공유메모리에 연결된 내부기 번호 쓰기 구현됨
- 변수 초기화 : NA</t>
    <phoneticPr fontId="1" type="noConversion"/>
  </si>
  <si>
    <t>- 연결된 내부기 번호에 해당하는 공유 메모리 값 반환 구현됨
- 변수 초기화 : NA</t>
    <phoneticPr fontId="1" type="noConversion"/>
  </si>
  <si>
    <t>- 연결된 내부기 번호에 해당하는 공유 메모리 주소 값 반환 구현됨
- 변수 초기화 : NA</t>
    <phoneticPr fontId="1" type="noConversion"/>
  </si>
  <si>
    <t>- 해당하는 공유 메모리에 맵번호 쓰기 구현됨
- 맵 번호 변경 유닛 호출 구현됨.
- 내부장치 실행 모듈의 newMapLoadedFlag를 설정 유닛 호출 구현됨.
- 변수 초기화 : NA</t>
    <phoneticPr fontId="1" type="noConversion"/>
  </si>
  <si>
    <t>- 해당하는 공유메모리에 자극 볼륨 값 쓰기 구현됨
-  초기화 : NA</t>
    <phoneticPr fontId="1" type="noConversion"/>
  </si>
  <si>
    <t>- 해당하는 공유메모리에 오디오 볼륨 값 쓰기 구현됨
-  초기화 : NA</t>
    <phoneticPr fontId="1" type="noConversion"/>
  </si>
  <si>
    <t>- 해당하는 공유메모리에 LED 알림 설정 값 쓰기 구현됨
-  초기화 : NA</t>
    <phoneticPr fontId="1" type="noConversion"/>
  </si>
  <si>
    <t>- 해당하는 공유메모리에 자극 알림 설정 값 쓰기 구현됨
-  초기화 : NA</t>
    <phoneticPr fontId="1" type="noConversion"/>
  </si>
  <si>
    <t>I2C 데이터 쓰기 시작</t>
    <phoneticPr fontId="1" type="noConversion"/>
  </si>
  <si>
    <t>I2C 데이터 읽기 시작</t>
    <phoneticPr fontId="1" type="noConversion"/>
  </si>
  <si>
    <t>- 슬레이브 장치 주소, 전송할 데이터 주소, 전송할 데이터 개수를 입력으로 슬레이브 장치에 데이터 쓰기 쓰기 구현 됨.
- 변수 초기화 : 완료됨</t>
    <phoneticPr fontId="1" type="noConversion"/>
  </si>
  <si>
    <t>- 슬레이브 장치 주소, 수신할 데이터 주소, 수신할 데이터 개수를 입력으로 슬레이브 장치에 데이터 읽기 시작 구현 됨.
- 변수 초기화 : 완료됨</t>
    <phoneticPr fontId="1" type="noConversion"/>
  </si>
  <si>
    <t>- I2C 드라이버 상태값 반환
- 변수 초기화 : NA</t>
    <phoneticPr fontId="1" type="noConversion"/>
  </si>
  <si>
    <t>- SPI Tx 버퍼가 비워질 때까지 대기 후, 입력 데이터를  Tx 버퍼에 복사하기 구현됨.
- 변수 초기화 : 구현됨</t>
    <phoneticPr fontId="1" type="noConversion"/>
  </si>
  <si>
    <t>- 마스터 장치에 SPI 데이터 준비 핀으로 할당된 GPIO핀을 Low로 변경하기 구현됨
- 변수 초기화 : SPI Tx 버퍼 플래그 true 설정 구현됨.</t>
    <phoneticPr fontId="1" type="noConversion"/>
  </si>
  <si>
    <t>- 마스터 장치에 SPI 데이터 준비 핀으로 할당된 GPIO핀을 High로 변경하기 구현됨
- 변수 초기화 : SPI Tx 버퍼 플래그 false 설정 구현됨.</t>
    <phoneticPr fontId="1" type="noConversion"/>
  </si>
  <si>
    <t xml:space="preserve">자극 DAC 선택 및 C ,T 레벨 계산 </t>
    <phoneticPr fontId="1" type="noConversion"/>
  </si>
  <si>
    <t>- 최대 최소 자극 전류 레벨을 기반으로 내부기 자극 DAC 파라미터 설정 구현됨
- 설정된 DAC 파라미터를 적용했을 때 사용가능한 최대 최소 자극 레벨 값 계산 구현됨
- 변수 초기화 : 초기화 필요 변수 초기화 구현됨</t>
    <phoneticPr fontId="1" type="noConversion"/>
  </si>
  <si>
    <t>- I2C 사용 가능 플래그 활성화 구현 됨
- 변수 초기화 : NA</t>
    <phoneticPr fontId="1" type="noConversion"/>
  </si>
  <si>
    <t>- I2C 사용 가능 플래그 비활성화 구현 됨
- 변수 초기화 : NA</t>
    <phoneticPr fontId="1" type="noConversion"/>
  </si>
  <si>
    <t>- I2C 사용 가능 플래그 반환 구현 됨
- 변수 초기화 : NA</t>
    <phoneticPr fontId="1" type="noConversion"/>
  </si>
  <si>
    <t>- FPGA 레지스터 주소, 송신 값을 입력으로 I2C 쓰기 시작 호출 구현됨
- I2C 드라이버 상태가 쓰기 완료로 되면 true 반환, 에러 발생 시 false 반환 구현됨.
- 변수 초기화 : 초기화 필요 변수 초기화 구현됨</t>
    <phoneticPr fontId="1" type="noConversion"/>
  </si>
  <si>
    <t>- FPGA 레지스터 주소, 수신 데이터 저장 주소로 I2C 읽기 시작 호출 구현됨
- I2C 드라이버 상태가 읽기 완료로 되면 true 반환, 에러 발생 시 false 반환 구현됨.
- 변수 초기화 : 초기화 필요 변수 초기화 구현됨</t>
    <phoneticPr fontId="1" type="noConversion"/>
  </si>
  <si>
    <t>- PMIC 레지스터 주소, 송신 값을 입력으로 I2C 쓰기 시작 호출 구현됨
- I2C 드라이버 상태가 쓰기 완료로 되면 true 반환, 에러 발생 시 false 반환 구현됨.
- 변수 초기화 : 초기화 필요 변수 초기화 구현됨</t>
    <phoneticPr fontId="1" type="noConversion"/>
  </si>
  <si>
    <t>- PMIC 레지스터 주소, 수신 데이터 저장 주소로 I2C 읽기 시작 호출 구현됨
- I2C 드라이버 상태가 읽기 완료로 되면 true 반환, 에러 발생 시 false 반환 구현됨.
- 변수 초기화 : 초기화 필요 변수 초기화 구현됨</t>
    <phoneticPr fontId="1" type="noConversion"/>
  </si>
  <si>
    <t>- FPGA FIFO 주소, 수신 데이터 저장 주소, 수신 데이터 개수로 I2C 읽기 시작 호출 구현됨
- I2C 드라이버 상태가 읽기 완료로 되면 true 반환, 에러 발생 시 false 반환 구현됨.
- 변수 초기화 : 초기화 필요 변수 초기화 구현됨</t>
    <phoneticPr fontId="1" type="noConversion"/>
  </si>
  <si>
    <t>- 입력 받은 값으로 내부기 제어 상태 변수 업데이트 구현됨
- PCM 출력 모드, NOP으로 변환 호출 구현됨
-내부기 제어상태 변경 플래그 활성화 구현됨 
- 변수 초기화 : NA</t>
    <phoneticPr fontId="1" type="noConversion"/>
  </si>
  <si>
    <t>-내부기 제어상태 변경 플래그 비활성화 구현됨 
- 변수 초기화 : NA</t>
    <phoneticPr fontId="1" type="noConversion"/>
  </si>
  <si>
    <t>- 내부기 제어상태 변경 플래그 값을 입력으로 초기화 동작 흐름 시작 구현됨
- 카운터 증가에 따른 PMIC 초기화 동작 구현됨.
- 변수 초기화 : 초기화 필요 변수 초기화 구현됨</t>
    <phoneticPr fontId="1" type="noConversion"/>
  </si>
  <si>
    <t>- 내부기 제어상태 변경 플래그 값을 입력으로 FPGA 초기화 동작 흐름 시작 구현됨
- 카운터 증가에 따른 FPGA 초기화 동작 구현됨.
- 변수 초기화 : 초기화 필요 변수 초기화 구현됨</t>
    <phoneticPr fontId="1" type="noConversion"/>
  </si>
  <si>
    <t>- 내부기 제어상태 변경 플래그 값을 입력으로 내부기 초기화 동작 흐름 시작 구현됨
- 카운터 증가에 따른 내부기 초기화 동작 구현됨.
- 변수 초기화 : 초기화 필요 변수 초기화 구현됨</t>
    <phoneticPr fontId="1" type="noConversion"/>
  </si>
  <si>
    <t>- 내부기 제어상태 변경 플래그 값을 입력으로 내부기 통신 통록 확보 동작 구현됨
- 카운터 증가에 따른 내부기 통신 확보 동작 구현됨.
- 변수 초기화 : 초기화 필요 변수 초기화 구현됨</t>
    <phoneticPr fontId="1" type="noConversion"/>
  </si>
  <si>
    <t>- 내부기 제어상태 변경 플래그 값을 입력으로 FPGA 초기화 동작 흐름 시작 구현됨
- 카운터 증가에 따른 내부기 자극용 10v 활성화 동작 구현됨.
- 변수 초기화 : 초기화 필요 변수 초기화 구현됨</t>
    <phoneticPr fontId="1" type="noConversion"/>
  </si>
  <si>
    <t xml:space="preserve">내부기 자극 출력 제어 </t>
    <phoneticPr fontId="1" type="noConversion"/>
  </si>
  <si>
    <t>- 맵 데이터 로딩 여부에 따른 자극 파라미터 계산 동작 구현됨
-  채널달 프레임 수 계산 구현됨
-  전송 가능 채널 수 게산 구현됨
- 자극 알림 레벨 255 변환 구현됨
- 변수 초기화 : 초기화 필요 변수 초기화 구현됨</t>
    <phoneticPr fontId="1" type="noConversion"/>
  </si>
  <si>
    <t>- 내부기 제어상태 변경 플래그 값을 입력으로 내부기 자극 파라미터 설정  동작 흐름 시작 구현됨
- 카운터 증가에 따른 내부기 자극 파라미터 설정 동작 구현됨.
- 변수 초기화 : 초기화 필요 변수 초기화 구현됨</t>
    <phoneticPr fontId="1" type="noConversion"/>
  </si>
  <si>
    <t>- CFX 내부기 연결 체크 PCM 출력 상태(bakctel Flag)를 읽어 연결확인 시퀀스 시작 구현됨
- 카운터 증가에 따라 내부기 전원을 확인 및 전원 조정 동작 구현됨
- 변수 초기화 : 초기화 필요 변수 초기화 구현됨</t>
    <phoneticPr fontId="1" type="noConversion"/>
  </si>
  <si>
    <t>- 카운터 입력 값으로 연결 확인 시퀀스 시작 구현됨 입력으로 내부기 자극 파라미터 설정  동작 흐름 시작 구현됨
- 카운터 증가에 따른 내부기 자극 파라미터 설정 동작 구현됨.
- 변수 초기화 : 초기화 필요 변수 초기화 구현됨</t>
    <phoneticPr fontId="1" type="noConversion"/>
  </si>
  <si>
    <t>- 수신 데이터 첫번째 바이트 복사 구현
- 변수 초기화 : NA</t>
    <phoneticPr fontId="1" type="noConversion"/>
  </si>
  <si>
    <t>- 리모콘 프로토콜의 수신 명령 목록 인출 구현됨
- 프로토콜 위반시 에러 전송 구현됨
- 변수 초기화 : 초기화 필요 변수 초기화 구현됨</t>
    <phoneticPr fontId="1" type="noConversion"/>
  </si>
  <si>
    <t>- 매핑 프로토콜의 예외 사항 데이터 인출 구현됨
- 매핑 프로토콜의 수신 명령 목록 인출 구현됨
- 프로토콜 위반시 에러 전송 구현됨
- 변수 초기화 : 초기화 필요 변수 초기화 구현됨</t>
    <phoneticPr fontId="1" type="noConversion"/>
  </si>
  <si>
    <t>- BLE 광고이름 설정 명령이 수신된 경우, SPI 데이터 송신 구현됨
- 변수 초기화 : 초기화 필요 변수 초기화 구현됨</t>
    <phoneticPr fontId="1" type="noConversion"/>
  </si>
  <si>
    <t>리모콘 명령 수행 완료</t>
    <phoneticPr fontId="1" type="noConversion"/>
  </si>
  <si>
    <t>- 내부기 연결상태에 따른 패스키 초기화 구현됨
- 리모콘 프로토콜의 수신 명령 목록별 기능 구현됨.
- 변수 초기화 : 초기화 필요 변수 초기화 구현됨</t>
    <phoneticPr fontId="1" type="noConversion"/>
  </si>
  <si>
    <t>- 리모콘 명령 수행 완료 플래그 상태 변경 구현됨
- 변수 초기화 : NA</t>
    <phoneticPr fontId="1" type="noConversion"/>
  </si>
  <si>
    <t>- 카운터 입력 값으로 특정 자극 출력 생성  동작 흐름 시작 구현됨
- 카운터 증가에 따른 특정 자극 출력 생성에 필요한 파라미터 계산 및 파라미터 설정, 자극 출력 동작 구현됨
- 변수 초기화 : 초기화 필요 변수 초기화 구현됨</t>
    <phoneticPr fontId="1" type="noConversion"/>
  </si>
  <si>
    <t>- 실시간 자극출력 하위 명령 및 데이터별 동작 흐름 구현됨
- 변수 초기화 : 초기화 필요 변수 초기화 구현됨</t>
    <phoneticPr fontId="1" type="noConversion"/>
  </si>
  <si>
    <t>- 매핑 명령 수행 완료 플래그 상태 변경 구현됨
- 변수 초기화 : NA</t>
    <phoneticPr fontId="1" type="noConversion"/>
  </si>
  <si>
    <t>- 32MHz 설정 구현됨
- 변수 초기화 : NA</t>
    <phoneticPr fontId="1" type="noConversion"/>
  </si>
  <si>
    <t>- SPI 4개핀 설정 구현됨
- 4MHz SPI 마스터 설정 구현됨
- SPI 버퍼 리셋 구현됨
- CM3에서 SPI 통신 Flag로 사용되는 핀 풀다운 저항 입력으로 설정 구현됨
- 변수 초기화 : NA</t>
    <phoneticPr fontId="1" type="noConversion"/>
  </si>
  <si>
    <t>- 풀업 저항 입력으로 구현됨
- 변수 초기화 : NA</t>
    <phoneticPr fontId="1" type="noConversion"/>
  </si>
  <si>
    <t>- 시스템 클럭 32MHz를 5분주하여 1usec 타이머 클럭이 설정 구현됨
- 입력 usec 값을 카운터로 설정하여 해당 입력값 시간만다 타이머 인터럽트 발생 구현됨.
- 변수 초기화 :NA</t>
    <phoneticPr fontId="1" type="noConversion"/>
  </si>
  <si>
    <t>Log Data 읽기</t>
    <phoneticPr fontId="1" type="noConversion"/>
  </si>
  <si>
    <t>- EEPROM에서 Log Data 읽기 구현됨
- 변수 초기화 : 초기화 필요 변수 초기화 완료</t>
    <phoneticPr fontId="1" type="noConversion"/>
  </si>
  <si>
    <t>- gpio 입력 반환 구현
- 변수 초기화 : NA</t>
    <phoneticPr fontId="1" type="noConversion"/>
  </si>
  <si>
    <t>- EEPROM에 저장된 제조정보 읽기 구현됨
- 변수 초기화 : NA</t>
    <phoneticPr fontId="1" type="noConversion"/>
  </si>
  <si>
    <t>- 광고 이릅 접두사 설정 구현됨
- 광고 이름, 내부기 정보 설정 구현됨</t>
    <phoneticPr fontId="1" type="noConversion"/>
  </si>
  <si>
    <t>- 타이머 설정 비활성화 구현됨
- 초기화 변수 : NA</t>
    <phoneticPr fontId="1" type="noConversion"/>
  </si>
  <si>
    <t xml:space="preserve">- app timer  초기화 구현
- ble gap 보안모드 초기화 호출 구현됨
- ble gap 파라미터 초기화 호출 구현됨
- ble 서비스 초기화 호출 구현됨
- ble 광고 초기화 호출 구현됨
- ble 연결 파라미터 초기화 호출 구현됨
- ble 광고 시작 호출 구현됨
- 변수 초기화 : NA
</t>
    <phoneticPr fontId="1" type="noConversion"/>
  </si>
  <si>
    <t>- 타이머  인터럽트 중지 구현됨
- 블루투스 스택 비활성화 호출 구현됨
- Log data EEPORM에 쓰기 구현됨
- ON/OFF 플래그 할당핀 풀다운 저항 및 High 변경 센서로 설정 구현됨
- SYSTEM Off 구현됨</t>
    <phoneticPr fontId="1" type="noConversion"/>
  </si>
  <si>
    <t>BLE 본딩 데이터 저장</t>
    <phoneticPr fontId="1" type="noConversion"/>
  </si>
  <si>
    <t>- BLE GAP 보안연결이 완료되는 시점에 본딩 데이터 저장하기 구현됨</t>
    <phoneticPr fontId="1" type="noConversion"/>
  </si>
  <si>
    <t>- 데이터 주소와 데이터 개수를 입력받아 SPI Tx버퍼로 복사 구현됨
- 변수 초기화 : NA</t>
    <phoneticPr fontId="1" type="noConversion"/>
  </si>
  <si>
    <t>- GPIO 입력 값을 읽어 CM3에서 데이터 전송 준비가되었는지 확인하여 반환하는 것 구현됨
- 변수 초기화 :NA</t>
    <phoneticPr fontId="1" type="noConversion"/>
  </si>
  <si>
    <t>- SPI 전송(Tx 버퍼 더미 전송) 라이브러리 호출 구현됨
- 변수 초기화 : 초기화 구현됨</t>
    <phoneticPr fontId="1" type="noConversion"/>
  </si>
  <si>
    <t>- SPI 전송(RX 버퍼 더미 설정) 라이브러리 호출 구현됨
- 변수 초기화 : 초기화 구현됨</t>
    <phoneticPr fontId="1" type="noConversion"/>
  </si>
  <si>
    <t>- 데이터 주소와 데이터 개수를 입력받아 SPI 수신 버퍼에서 입력 데이터 주소로 복사하는 기능 구현됨
- 변수 초기화 : NA</t>
    <phoneticPr fontId="1" type="noConversion"/>
  </si>
  <si>
    <t>- BLE 스텍에서 수신한 데이터를 BLE_Rx_buff로 복사하는 기능 구현됨
- 변수 초기화 :BA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</si>
  <si>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</si>
  <si>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</si>
  <si>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>1.0.0</t>
    <phoneticPr fontId="1" type="noConversion"/>
  </si>
  <si>
    <t xml:space="preserve">2. 동작 하드웨어 </t>
    <phoneticPr fontId="1" type="noConversion"/>
  </si>
  <si>
    <t>OTE_GEN1_Proto3</t>
    <phoneticPr fontId="1" type="noConversion"/>
  </si>
  <si>
    <t>장비 및 지그, 소프트웨어 툴</t>
    <phoneticPr fontId="1" type="noConversion"/>
  </si>
  <si>
    <t>사용목적</t>
    <phoneticPr fontId="1" type="noConversion"/>
  </si>
  <si>
    <t>스피커</t>
    <phoneticPr fontId="1" type="noConversion"/>
  </si>
  <si>
    <t>음악 재생기(PC)</t>
    <phoneticPr fontId="1" type="noConversion"/>
  </si>
  <si>
    <t xml:space="preserve">   음악 파일을 재생한다.</t>
    <phoneticPr fontId="1" type="noConversion"/>
  </si>
  <si>
    <t>음악 파일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</si>
  <si>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</si>
  <si>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</si>
  <si>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5. 시험 내용</t>
    <phoneticPr fontId="1" type="noConversion"/>
  </si>
  <si>
    <t>4. 시험 환경</t>
    <phoneticPr fontId="1" type="noConversion"/>
  </si>
  <si>
    <t xml:space="preserve">검사자 </t>
    <phoneticPr fontId="1" type="noConversion"/>
  </si>
  <si>
    <t>㈜토닥 연구실</t>
    <phoneticPr fontId="1" type="noConversion"/>
  </si>
  <si>
    <t>시험 장소</t>
    <phoneticPr fontId="1" type="noConversion"/>
  </si>
  <si>
    <t>시험 일자</t>
    <phoneticPr fontId="1" type="noConversion"/>
  </si>
  <si>
    <t>임정우</t>
    <phoneticPr fontId="1" type="noConversion"/>
  </si>
  <si>
    <t>I2C 디버거(AMIS CCA)</t>
    <phoneticPr fontId="1" type="noConversion"/>
  </si>
  <si>
    <t>Ezairo system 디버깅 장치</t>
    <phoneticPr fontId="1" type="noConversion"/>
  </si>
  <si>
    <t>EDK Ezairo</t>
    <phoneticPr fontId="1" type="noConversion"/>
  </si>
  <si>
    <t>J-Link 디버거</t>
    <phoneticPr fontId="1" type="noConversion"/>
  </si>
  <si>
    <t>NRF 디버깅 장치</t>
    <phoneticPr fontId="1" type="noConversion"/>
  </si>
  <si>
    <t>Keil uVison5</t>
    <phoneticPr fontId="1" type="noConversion"/>
  </si>
  <si>
    <t>피에조 고장난 스피커</t>
    <phoneticPr fontId="1" type="noConversion"/>
  </si>
  <si>
    <t>소리(음파)를 생성한다.</t>
    <phoneticPr fontId="1" type="noConversion"/>
  </si>
  <si>
    <t>소리에 해당하는 전자기장을 발생시킨다.</t>
    <phoneticPr fontId="1" type="noConversion"/>
  </si>
  <si>
    <t>이어폰</t>
    <phoneticPr fontId="1" type="noConversion"/>
  </si>
  <si>
    <t>신호처리 과정의 소리를 청취한다.</t>
    <phoneticPr fontId="1" type="noConversion"/>
  </si>
  <si>
    <t>시험에 필요한 특정 주파수 및 음악 신호 파일</t>
    <phoneticPr fontId="1" type="noConversion"/>
  </si>
  <si>
    <t>6. 미해결 오류</t>
    <phoneticPr fontId="1" type="noConversion"/>
  </si>
  <si>
    <r>
      <rPr>
        <b/>
        <sz val="14"/>
        <rFont val="맑은 고딕"/>
        <family val="3"/>
        <charset val="129"/>
        <scheme val="minor"/>
      </rPr>
      <t>유닛 시험 보고서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</si>
  <si>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Ezairo system 코딩, 컴파일, 링크, 다운로드 및 디버깅 프로그램 툴</t>
    <phoneticPr fontId="1" type="noConversion"/>
  </si>
  <si>
    <t>NRF 코딩, 컴파일, 링크, 다운로드 및 디버깅 프로그램 툴</t>
    <phoneticPr fontId="1" type="noConversion"/>
  </si>
  <si>
    <t>소프트웨어 유닛 검증 보고서
(TD20B-A-EXT)</t>
    <phoneticPr fontId="3" type="noConversion"/>
  </si>
  <si>
    <t>임정우</t>
    <phoneticPr fontId="3" type="noConversion"/>
  </si>
  <si>
    <t>이호승</t>
    <phoneticPr fontId="3" type="noConversion"/>
  </si>
  <si>
    <t>2021.10.06~2022.08.30</t>
    <phoneticPr fontId="1" type="noConversion"/>
  </si>
  <si>
    <t>인공달팽이관 외부장치 시제품 3차(OTE 시제품 버전 3)</t>
    <phoneticPr fontId="1" type="noConversion"/>
  </si>
  <si>
    <t>SU-ID-CFX-001</t>
  </si>
  <si>
    <t>SU-ID-CFX-002</t>
  </si>
  <si>
    <t>SU-ID-CFX-003</t>
  </si>
  <si>
    <t>SU-ID-CFX-004</t>
  </si>
  <si>
    <t>SU-ID-CFX-005</t>
  </si>
  <si>
    <t>SU-ID-CFX-006</t>
  </si>
  <si>
    <t>SU-ID-CFX-007</t>
  </si>
  <si>
    <t>SU-ID-CFX-008</t>
  </si>
  <si>
    <t>SU-ID-CFX-009</t>
  </si>
  <si>
    <t>SU-ID-CFX-010</t>
  </si>
  <si>
    <t>SU-ID-CFX-011</t>
  </si>
  <si>
    <t>SU-ID-CFX-012</t>
  </si>
  <si>
    <t>SU-ID-CFX-013</t>
  </si>
  <si>
    <t>SU-ID-CFX-014</t>
  </si>
  <si>
    <t>SU-ID-CFX-015</t>
  </si>
  <si>
    <t>SU-ID-CFX-016</t>
  </si>
  <si>
    <t>SU-ID-CFX-017</t>
  </si>
  <si>
    <t>SU-ID-CFX-018</t>
  </si>
  <si>
    <t>SU-ID-CFX-019</t>
  </si>
  <si>
    <t>SU-ID-CFX-020</t>
  </si>
  <si>
    <t>SU-ID-CFX-021</t>
  </si>
  <si>
    <t>SU-ID-CFX-022</t>
  </si>
  <si>
    <t>SU-ID-CFX-024</t>
  </si>
  <si>
    <t>SU-ID-CFX-025</t>
  </si>
  <si>
    <t>SU-ID-CFX-026</t>
  </si>
  <si>
    <t>SU-ID-CFX-027</t>
  </si>
  <si>
    <t>SU-ID-CFX-028</t>
  </si>
  <si>
    <t>SU-ID-CFX-029</t>
  </si>
  <si>
    <t>SU-ID-CFX-030</t>
  </si>
  <si>
    <t>SU-ID-CFX-031</t>
  </si>
  <si>
    <t>SU-ID-CFX-032</t>
  </si>
  <si>
    <t>SU-ID-CFX-033</t>
  </si>
  <si>
    <t>SU-ID-CFX-034</t>
  </si>
  <si>
    <t>SU-ID-CFX-035</t>
  </si>
  <si>
    <t>SU-ID-CFX-036</t>
  </si>
  <si>
    <t>SU-ID-CFX-037</t>
  </si>
  <si>
    <t>SU-ID-CFX-038</t>
  </si>
  <si>
    <t>SU-ID-CFX-039</t>
  </si>
  <si>
    <t>SU-ID-CFX-040</t>
  </si>
  <si>
    <t>SU-ID-CFX-041</t>
  </si>
  <si>
    <t>SU-ID-CFX-042</t>
  </si>
  <si>
    <t>SU-ID-CFX-043</t>
  </si>
  <si>
    <t>SU-ID-CFX-044</t>
  </si>
  <si>
    <t>SU-ID-CFX-045</t>
  </si>
  <si>
    <t>SU-ID-CFX-046</t>
  </si>
  <si>
    <t>SU-ID-CFX-047</t>
  </si>
  <si>
    <t>SU-ID-CFX-048</t>
  </si>
  <si>
    <t>SU-ID-CFX-049</t>
  </si>
  <si>
    <t>SU-ID-CFX-050</t>
  </si>
  <si>
    <t>SU-ID-CFX-051</t>
  </si>
  <si>
    <t>SU-ID-CFX-052</t>
  </si>
  <si>
    <t>SU-ID-CFX-053</t>
  </si>
  <si>
    <t>SU-ID-CFX-054</t>
  </si>
  <si>
    <t>SU-ID-CFX-055</t>
  </si>
  <si>
    <t>SU-ID-CFX-056</t>
  </si>
  <si>
    <t>SU-ID-CFX-058</t>
  </si>
  <si>
    <t>SU-ID-CFX-059</t>
  </si>
  <si>
    <t>SU-ID-CFX-057</t>
  </si>
  <si>
    <t>SU-ID-CFX-060</t>
  </si>
  <si>
    <t>SU-ID-CFX-061</t>
  </si>
  <si>
    <t>SU-ID-CM3-001</t>
  </si>
  <si>
    <t>SU-ID-CM3-002</t>
  </si>
  <si>
    <t>SU-ID-CM3-003</t>
  </si>
  <si>
    <t>SU-ID-CM3-004</t>
  </si>
  <si>
    <t>SU-ID-CM3-005</t>
  </si>
  <si>
    <t>SU-ID-CM3-006</t>
  </si>
  <si>
    <t>SU-ID-CM3-007</t>
  </si>
  <si>
    <t>SU-ID-CM3-008</t>
  </si>
  <si>
    <t>SU-ID-CM3-009</t>
  </si>
  <si>
    <t>SU-ID-CM3-010</t>
  </si>
  <si>
    <t>SU-ID-CM3-011</t>
  </si>
  <si>
    <t>SU-ID-CM3-012</t>
  </si>
  <si>
    <t>SU-ID-CM3-013</t>
  </si>
  <si>
    <t>SU-ID-CM3-014</t>
  </si>
  <si>
    <t>SU-ID-CM3-015</t>
  </si>
  <si>
    <t>SU-ID-CM3-016</t>
  </si>
  <si>
    <t>SU-ID-CM3-017</t>
  </si>
  <si>
    <t>SU-ID-CM3-018</t>
  </si>
  <si>
    <t>SU-ID-CM3-019</t>
  </si>
  <si>
    <t>SU-ID-CM3-020</t>
  </si>
  <si>
    <t>SU-ID-CM3-021</t>
  </si>
  <si>
    <t>SU-ID-CM3-022</t>
  </si>
  <si>
    <t>SU-ID-CM3-023</t>
  </si>
  <si>
    <t>SU-ID-CM3-024</t>
  </si>
  <si>
    <t>SU-ID-CM3-025</t>
  </si>
  <si>
    <t>SU-ID-CM3-026</t>
  </si>
  <si>
    <t>SU-ID-CM3-027</t>
  </si>
  <si>
    <t>SU-ID-CM3-028</t>
  </si>
  <si>
    <t>SU-ID-CM3-029</t>
  </si>
  <si>
    <t>SU-ID-CM3-030</t>
  </si>
  <si>
    <t>SU-ID-CM3-031</t>
  </si>
  <si>
    <t>SU-ID-CM3-032</t>
  </si>
  <si>
    <t>SU-ID-CM3-033</t>
  </si>
  <si>
    <t>SU-ID-CM3-034</t>
  </si>
  <si>
    <t>SU-ID-CM3-035</t>
  </si>
  <si>
    <t>SU-ID-CM3-036</t>
  </si>
  <si>
    <t>SU-ID-CM3-037</t>
  </si>
  <si>
    <t>SU-ID-CM3-038</t>
  </si>
  <si>
    <t>SU-ID-CM3-039</t>
  </si>
  <si>
    <t>SU-ID-CM3-040</t>
  </si>
  <si>
    <t>SU-ID-CM3-041</t>
  </si>
  <si>
    <t>SU-ID-CM3-042</t>
  </si>
  <si>
    <t>SU-ID-CM3-043</t>
  </si>
  <si>
    <t>SU-ID-CM3-044</t>
  </si>
  <si>
    <t>SU-ID-CM3-045</t>
  </si>
  <si>
    <t>SU-ID-CM3-046</t>
  </si>
  <si>
    <t>SU-ID-CM3-047</t>
  </si>
  <si>
    <t>SU-ID-CM3-048</t>
  </si>
  <si>
    <t>SU-ID-CM3-049</t>
  </si>
  <si>
    <t>SU-ID-CM3-050</t>
  </si>
  <si>
    <t>SU-ID-CM3-051</t>
  </si>
  <si>
    <t>SU-ID-CM3-052</t>
  </si>
  <si>
    <t>SU-ID-CM3-053</t>
  </si>
  <si>
    <t>SU-ID-CM3-054</t>
  </si>
  <si>
    <t>SU-ID-CM3-055</t>
  </si>
  <si>
    <t>SU-ID-CM3-056</t>
  </si>
  <si>
    <t>SU-ID-CM3-057</t>
  </si>
  <si>
    <t>SU-ID-CM3-058</t>
  </si>
  <si>
    <t>SU-ID-CM3-059</t>
  </si>
  <si>
    <t>SU-ID-CM3-060</t>
  </si>
  <si>
    <t>SU-ID-CM3-061</t>
  </si>
  <si>
    <t>SU-ID-CM3-062</t>
  </si>
  <si>
    <t>SU-ID-CM3-063</t>
  </si>
  <si>
    <t>SU-ID-CM3-064</t>
  </si>
  <si>
    <t>SU-ID-CM3-065</t>
  </si>
  <si>
    <t>SU-ID-CM3-066</t>
  </si>
  <si>
    <t>SU-ID-CM3-067</t>
  </si>
  <si>
    <t>SU-ID-CM3-068</t>
  </si>
  <si>
    <t>SU-ID-CM3-069</t>
  </si>
  <si>
    <t>SU-ID-CM3-070</t>
  </si>
  <si>
    <t>SU-ID-CM3-071</t>
  </si>
  <si>
    <t>SU-ID-CM3-072</t>
  </si>
  <si>
    <t>SU-ID-CM3-073</t>
  </si>
  <si>
    <t>SU-ID-CM3-074</t>
  </si>
  <si>
    <t>SU-ID-CM3-075</t>
  </si>
  <si>
    <t>SU-ID-CM3-076</t>
  </si>
  <si>
    <t>SU-ID-CM3-077</t>
  </si>
  <si>
    <t>SU-ID-CM3-078</t>
  </si>
  <si>
    <t>SU-ID-CM3-079</t>
  </si>
  <si>
    <t>SU-ID-CM3-080</t>
  </si>
  <si>
    <t>SU-ID-CM3-081</t>
  </si>
  <si>
    <t>SU-ID-CM3-082</t>
  </si>
  <si>
    <t>SU-ID-CM3-083</t>
  </si>
  <si>
    <t>SU-ID-CM3-084</t>
  </si>
  <si>
    <t>SU-ID-CM3-085</t>
  </si>
  <si>
    <t>SU-ID-CM3-086</t>
  </si>
  <si>
    <t>SU-ID-CM3-087</t>
  </si>
  <si>
    <t>SU-ID-CM3-088</t>
  </si>
  <si>
    <t>SU-ID-CM3-089</t>
  </si>
  <si>
    <t>SU-ID-CM3-090</t>
  </si>
  <si>
    <t>SU-ID-CM3-091</t>
  </si>
  <si>
    <t>SU-ID-CM3-092</t>
  </si>
  <si>
    <t>SU-ID-CM3-093</t>
  </si>
  <si>
    <t>SU-ID-CM3-094</t>
  </si>
  <si>
    <t>SU-ID-CM3-095</t>
  </si>
  <si>
    <t>SU-ID-CM3-096</t>
  </si>
  <si>
    <t>SU-ID-CM3-097</t>
  </si>
  <si>
    <t>SU-ID-CM3-098</t>
  </si>
  <si>
    <t>SU-ID-CM3-099</t>
  </si>
  <si>
    <t>SU-ID-CM3-100</t>
  </si>
  <si>
    <t>SU-ID-CM3-101</t>
  </si>
  <si>
    <t>SU-ID-CM3-102</t>
  </si>
  <si>
    <t>SU-ID-CM3-103</t>
  </si>
  <si>
    <t>SU-ID-CM3-104</t>
  </si>
  <si>
    <t>SU-ID-CM3-105</t>
  </si>
  <si>
    <t>SU-ID-CM3-106</t>
  </si>
  <si>
    <t>SU-ID-CM3-107</t>
  </si>
  <si>
    <t>SU-ID-NRF-001</t>
  </si>
  <si>
    <t>SU-ID-NRF-002</t>
  </si>
  <si>
    <t>SU-ID-NRF-003</t>
  </si>
  <si>
    <t>SU-ID-NRF-004</t>
  </si>
  <si>
    <t>SU-ID-NRF-005</t>
  </si>
  <si>
    <t>SU-ID-NRF-006</t>
  </si>
  <si>
    <t>SU-ID-NRF-007</t>
  </si>
  <si>
    <t>SU-ID-NRF-008</t>
  </si>
  <si>
    <t>SU-ID-NRF-009</t>
  </si>
  <si>
    <t>SU-ID-NRF-010</t>
  </si>
  <si>
    <t>SU-ID-NRF-011</t>
  </si>
  <si>
    <t>SU-ID-NRF-012</t>
  </si>
  <si>
    <t>SU-ID-NRF-013</t>
  </si>
  <si>
    <t>SU-ID-NRF-014</t>
  </si>
  <si>
    <t>SU-ID-NRF-015</t>
  </si>
  <si>
    <t>SU-ID-NRF-016</t>
  </si>
  <si>
    <t>SU-ID-NRF-017</t>
  </si>
  <si>
    <t>SU-ID-NRF-018</t>
  </si>
  <si>
    <t>Rev. 1</t>
    <phoneticPr fontId="3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</si>
  <si>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</si>
  <si>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</si>
  <si>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</si>
  <si>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토닥/인공와우사업부</t>
    <phoneticPr fontId="3" type="noConversion"/>
  </si>
  <si>
    <t>토닥</t>
    <phoneticPr fontId="3" type="noConversion"/>
  </si>
  <si>
    <t>최초 작성</t>
    <phoneticPr fontId="3" type="noConversion"/>
  </si>
  <si>
    <t>SUVR-FW-TD20B</t>
    <phoneticPr fontId="3" type="noConversion"/>
  </si>
  <si>
    <t>2022.08.22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</si>
</sst>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 wrapText="1"/>
    </xf>
    <xf numFmtId="49" fontId="11" fillId="7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31750</xdr:rowOff>
    </xdr:from>
    <xdr:to>
      <xdr:col>11</xdr:col>
      <xdr:colOff>146050</xdr:colOff>
      <xdr:row>12</xdr:row>
      <xdr:rowOff>203200</xdr:rowOff>
    </xdr:to>
    <xdr:pic>
      <xdr:nvPicPr>
        <xdr:cNvPr id="4" name="_x220564472">
          <a:extLst>
            <a:ext uri="{FF2B5EF4-FFF2-40B4-BE49-F238E27FC236}">
              <a16:creationId xmlns:a16="http://schemas.microsoft.com/office/drawing/2014/main" id="{6CEE40C5-9A4E-4E16-A741-CE0ADEACC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2216150"/>
          <a:ext cx="88265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393700</xdr:colOff>
      <xdr:row>15</xdr:row>
      <xdr:rowOff>38100</xdr:rowOff>
    </xdr:from>
    <xdr:to>
      <xdr:col>11</xdr:col>
      <xdr:colOff>215900</xdr:colOff>
      <xdr:row>16</xdr:row>
      <xdr:rowOff>196850</xdr:rowOff>
    </xdr:to>
    <xdr:pic>
      <xdr:nvPicPr>
        <xdr:cNvPr id="5" name="_x752701944">
          <a:extLst>
            <a:ext uri="{FF2B5EF4-FFF2-40B4-BE49-F238E27FC236}">
              <a16:creationId xmlns:a16="http://schemas.microsoft.com/office/drawing/2014/main" id="{503B2FAA-84EF-4BF0-B4CB-1666C9731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086100"/>
          <a:ext cx="7874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2"/>
  <sheetViews>
    <sheetView workbookViewId="0">
      <selection activeCell="N20" sqref="N20"/>
    </sheetView>
  </sheetViews>
  <sheetFormatPr defaultColWidth="5.75" defaultRowHeight="17" x14ac:dyDescent="0.45"/>
  <cols>
    <col min="1" max="1" width="1.1640625" style="1" customWidth="1"/>
    <col min="2" max="15" width="6.33203125" style="1" customWidth="1"/>
    <col min="16" max="16" width="4.58203125" style="1" customWidth="1"/>
    <col min="17" max="17" width="1.08203125" style="1" customWidth="1"/>
    <col min="18" max="42" width="5.75" style="1"/>
    <col min="43" max="43" width="7.83203125" style="1" bestFit="1" customWidth="1"/>
    <col min="44" max="16384" width="5.75" style="1"/>
  </cols>
  <sheetData>
    <row r="1" spans="2:30" ht="3" customHeight="1" x14ac:dyDescent="0.45"/>
    <row r="2" spans="2:30" x14ac:dyDescent="0.45">
      <c r="J2" s="52" t="s">
        <v>0</v>
      </c>
      <c r="K2" s="53"/>
      <c r="L2" s="54" t="s">
        <v>646</v>
      </c>
      <c r="M2" s="55"/>
      <c r="N2" s="55"/>
      <c r="O2" s="56"/>
      <c r="P2" s="7"/>
    </row>
    <row r="3" spans="2:30" x14ac:dyDescent="0.45">
      <c r="J3" s="54" t="s">
        <v>1</v>
      </c>
      <c r="K3" s="56"/>
      <c r="L3" s="54" t="s">
        <v>639</v>
      </c>
      <c r="M3" s="55"/>
      <c r="N3" s="55"/>
      <c r="O3" s="56"/>
      <c r="P3" s="7"/>
    </row>
    <row r="4" spans="2:30" ht="17.5" thickBot="1" x14ac:dyDescent="0.5"/>
    <row r="5" spans="2:30" x14ac:dyDescent="0.45">
      <c r="B5" s="57" t="s">
        <v>449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9"/>
      <c r="Y5" s="45"/>
      <c r="Z5" s="45"/>
      <c r="AA5" s="46"/>
      <c r="AB5" s="46"/>
      <c r="AC5" s="46"/>
      <c r="AD5" s="46"/>
    </row>
    <row r="6" spans="2:30" ht="16.5" customHeight="1" x14ac:dyDescent="0.45"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2"/>
      <c r="Y6" s="46"/>
      <c r="Z6" s="46"/>
      <c r="AA6" s="46"/>
      <c r="AB6" s="46"/>
      <c r="AC6" s="46"/>
      <c r="AD6" s="46"/>
    </row>
    <row r="7" spans="2:30" ht="16.5" customHeight="1" x14ac:dyDescent="0.45">
      <c r="B7" s="60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30" ht="16.5" customHeight="1" thickBot="1" x14ac:dyDescent="0.5"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5"/>
    </row>
    <row r="9" spans="2:30" ht="16.5" customHeight="1" x14ac:dyDescent="0.45"/>
    <row r="10" spans="2:30" ht="17.25" customHeight="1" x14ac:dyDescent="0.45"/>
    <row r="11" spans="2:30" ht="17.5" x14ac:dyDescent="0.45">
      <c r="B11" s="47"/>
      <c r="C11" s="48"/>
      <c r="D11" s="49" t="s">
        <v>640</v>
      </c>
      <c r="E11" s="50"/>
      <c r="F11" s="50"/>
      <c r="G11" s="51"/>
      <c r="H11" s="49" t="s">
        <v>641</v>
      </c>
      <c r="I11" s="51"/>
      <c r="J11" s="49" t="s">
        <v>5</v>
      </c>
      <c r="K11" s="50"/>
      <c r="L11" s="51"/>
      <c r="M11" s="49" t="s">
        <v>642</v>
      </c>
      <c r="N11" s="50"/>
      <c r="O11" s="51"/>
    </row>
    <row r="12" spans="2:30" x14ac:dyDescent="0.45">
      <c r="B12" s="35" t="s">
        <v>2</v>
      </c>
      <c r="C12" s="36"/>
      <c r="D12" s="39" t="s">
        <v>643</v>
      </c>
      <c r="E12" s="40"/>
      <c r="F12" s="40"/>
      <c r="G12" s="41"/>
      <c r="H12" s="39" t="s">
        <v>450</v>
      </c>
      <c r="I12" s="41"/>
      <c r="J12" s="39"/>
      <c r="K12" s="40"/>
      <c r="L12" s="41"/>
      <c r="M12" s="39" t="s">
        <v>647</v>
      </c>
      <c r="N12" s="40"/>
      <c r="O12" s="41"/>
    </row>
    <row r="13" spans="2:30" x14ac:dyDescent="0.45">
      <c r="B13" s="37"/>
      <c r="C13" s="38"/>
      <c r="D13" s="42"/>
      <c r="E13" s="43"/>
      <c r="F13" s="43"/>
      <c r="G13" s="44"/>
      <c r="H13" s="42"/>
      <c r="I13" s="44"/>
      <c r="J13" s="42"/>
      <c r="K13" s="43"/>
      <c r="L13" s="44"/>
      <c r="M13" s="42"/>
      <c r="N13" s="43"/>
      <c r="O13" s="44"/>
    </row>
    <row r="14" spans="2:30" x14ac:dyDescent="0.45">
      <c r="B14" s="35" t="s">
        <v>3</v>
      </c>
      <c r="C14" s="36"/>
      <c r="D14" s="39"/>
      <c r="E14" s="40"/>
      <c r="F14" s="40"/>
      <c r="G14" s="41"/>
      <c r="H14" s="39"/>
      <c r="I14" s="41"/>
      <c r="J14" s="39"/>
      <c r="K14" s="40"/>
      <c r="L14" s="41"/>
      <c r="M14" s="39"/>
      <c r="N14" s="40"/>
      <c r="O14" s="41"/>
    </row>
    <row r="15" spans="2:30" x14ac:dyDescent="0.45">
      <c r="B15" s="37"/>
      <c r="C15" s="38"/>
      <c r="D15" s="42"/>
      <c r="E15" s="43"/>
      <c r="F15" s="43"/>
      <c r="G15" s="44"/>
      <c r="H15" s="42"/>
      <c r="I15" s="44"/>
      <c r="J15" s="42"/>
      <c r="K15" s="43"/>
      <c r="L15" s="44"/>
      <c r="M15" s="42"/>
      <c r="N15" s="43"/>
      <c r="O15" s="44"/>
    </row>
    <row r="16" spans="2:30" x14ac:dyDescent="0.45">
      <c r="B16" s="35" t="s">
        <v>4</v>
      </c>
      <c r="C16" s="36"/>
      <c r="D16" s="39" t="s">
        <v>644</v>
      </c>
      <c r="E16" s="40"/>
      <c r="F16" s="40"/>
      <c r="G16" s="41"/>
      <c r="H16" s="39" t="s">
        <v>451</v>
      </c>
      <c r="I16" s="41"/>
      <c r="J16" s="39"/>
      <c r="K16" s="40"/>
      <c r="L16" s="41"/>
      <c r="M16" s="39" t="s">
        <v>647</v>
      </c>
      <c r="N16" s="40"/>
      <c r="O16" s="41"/>
    </row>
    <row r="17" spans="2:15" x14ac:dyDescent="0.45">
      <c r="B17" s="37"/>
      <c r="C17" s="38"/>
      <c r="D17" s="42"/>
      <c r="E17" s="43"/>
      <c r="F17" s="43"/>
      <c r="G17" s="44"/>
      <c r="H17" s="42"/>
      <c r="I17" s="44"/>
      <c r="J17" s="42"/>
      <c r="K17" s="43"/>
      <c r="L17" s="44"/>
      <c r="M17" s="42"/>
      <c r="N17" s="43"/>
      <c r="O17" s="44"/>
    </row>
    <row r="18" spans="2:15" ht="16.5" customHeight="1" x14ac:dyDescent="0.45"/>
    <row r="19" spans="2:15" x14ac:dyDescent="0.45">
      <c r="L19"/>
    </row>
    <row r="22" spans="2:15" x14ac:dyDescent="0.45">
      <c r="B22" s="66" t="s">
        <v>6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8"/>
    </row>
    <row r="23" spans="2:15" x14ac:dyDescent="0.45">
      <c r="B23" s="29" t="s">
        <v>7</v>
      </c>
      <c r="C23" s="30"/>
      <c r="D23" s="29" t="s">
        <v>8</v>
      </c>
      <c r="E23" s="30"/>
      <c r="F23" s="29" t="s">
        <v>9</v>
      </c>
      <c r="G23" s="31"/>
      <c r="H23" s="31"/>
      <c r="I23" s="31"/>
      <c r="J23" s="31"/>
      <c r="K23" s="31"/>
      <c r="L23" s="31"/>
      <c r="M23" s="31"/>
      <c r="N23" s="31"/>
      <c r="O23" s="30"/>
    </row>
    <row r="24" spans="2:15" x14ac:dyDescent="0.45">
      <c r="B24" s="29">
        <v>0</v>
      </c>
      <c r="C24" s="30"/>
      <c r="D24" s="29" t="s">
        <v>647</v>
      </c>
      <c r="E24" s="30"/>
      <c r="F24" s="29" t="s">
        <v>645</v>
      </c>
      <c r="G24" s="31"/>
      <c r="H24" s="31"/>
      <c r="I24" s="31"/>
      <c r="J24" s="31"/>
      <c r="K24" s="31"/>
      <c r="L24" s="31"/>
      <c r="M24" s="31"/>
      <c r="N24" s="31"/>
      <c r="O24" s="30"/>
    </row>
    <row r="25" spans="2:15" x14ac:dyDescent="0.45">
      <c r="B25" s="29"/>
      <c r="C25" s="30"/>
      <c r="D25" s="29"/>
      <c r="E25" s="30"/>
      <c r="F25" s="32"/>
      <c r="G25" s="33"/>
      <c r="H25" s="33"/>
      <c r="I25" s="33"/>
      <c r="J25" s="33"/>
      <c r="K25" s="33"/>
      <c r="L25" s="33"/>
      <c r="M25" s="33"/>
      <c r="N25" s="33"/>
      <c r="O25" s="34"/>
    </row>
    <row r="26" spans="2:15" x14ac:dyDescent="0.45">
      <c r="B26" s="29"/>
      <c r="C26" s="30"/>
      <c r="D26" s="29"/>
      <c r="E26" s="30"/>
      <c r="F26" s="29"/>
      <c r="G26" s="31"/>
      <c r="H26" s="31"/>
      <c r="I26" s="31"/>
      <c r="J26" s="31"/>
      <c r="K26" s="31"/>
      <c r="L26" s="31"/>
      <c r="M26" s="31"/>
      <c r="N26" s="31"/>
      <c r="O26" s="30"/>
    </row>
    <row r="27" spans="2:15" x14ac:dyDescent="0.45">
      <c r="B27" s="29"/>
      <c r="C27" s="30"/>
      <c r="D27" s="29"/>
      <c r="E27" s="30"/>
      <c r="F27" s="29"/>
      <c r="G27" s="31"/>
      <c r="H27" s="31"/>
      <c r="I27" s="31"/>
      <c r="J27" s="31"/>
      <c r="K27" s="31"/>
      <c r="L27" s="31"/>
      <c r="M27" s="31"/>
      <c r="N27" s="31"/>
      <c r="O27" s="30"/>
    </row>
    <row r="28" spans="2:15" x14ac:dyDescent="0.45">
      <c r="B28" s="29"/>
      <c r="C28" s="30"/>
      <c r="D28" s="29"/>
      <c r="E28" s="30"/>
      <c r="F28" s="29"/>
      <c r="G28" s="31"/>
      <c r="H28" s="31"/>
      <c r="I28" s="31"/>
      <c r="J28" s="31"/>
      <c r="K28" s="31"/>
      <c r="L28" s="31"/>
      <c r="M28" s="31"/>
      <c r="N28" s="31"/>
      <c r="O28" s="30"/>
    </row>
    <row r="29" spans="2:15" x14ac:dyDescent="0.45">
      <c r="B29" s="29"/>
      <c r="C29" s="30"/>
      <c r="D29" s="29"/>
      <c r="E29" s="30"/>
      <c r="F29" s="29"/>
      <c r="G29" s="31"/>
      <c r="H29" s="31"/>
      <c r="I29" s="31"/>
      <c r="J29" s="31"/>
      <c r="K29" s="31"/>
      <c r="L29" s="31"/>
      <c r="M29" s="31"/>
      <c r="N29" s="31"/>
      <c r="O29" s="30"/>
    </row>
    <row r="30" spans="2:15" x14ac:dyDescent="0.45">
      <c r="B30" s="29"/>
      <c r="C30" s="30"/>
      <c r="D30" s="29"/>
      <c r="E30" s="30"/>
      <c r="F30" s="29"/>
      <c r="G30" s="31"/>
      <c r="H30" s="31"/>
      <c r="I30" s="31"/>
      <c r="J30" s="31"/>
      <c r="K30" s="31"/>
      <c r="L30" s="31"/>
      <c r="M30" s="31"/>
      <c r="N30" s="31"/>
      <c r="O30" s="30"/>
    </row>
    <row r="31" spans="2:15" x14ac:dyDescent="0.45">
      <c r="B31" s="29"/>
      <c r="C31" s="30"/>
      <c r="D31" s="29"/>
      <c r="E31" s="30"/>
      <c r="F31" s="29"/>
      <c r="G31" s="31"/>
      <c r="H31" s="31"/>
      <c r="I31" s="31"/>
      <c r="J31" s="31"/>
      <c r="K31" s="31"/>
      <c r="L31" s="31"/>
      <c r="M31" s="31"/>
      <c r="N31" s="31"/>
      <c r="O31" s="30"/>
    </row>
    <row r="32" spans="2:15" x14ac:dyDescent="0.45">
      <c r="B32" s="29"/>
      <c r="C32" s="30"/>
      <c r="D32" s="29"/>
      <c r="E32" s="30"/>
      <c r="F32" s="29"/>
      <c r="G32" s="31"/>
      <c r="H32" s="31"/>
      <c r="I32" s="31"/>
      <c r="J32" s="31"/>
      <c r="K32" s="31"/>
      <c r="L32" s="31"/>
      <c r="M32" s="31"/>
      <c r="N32" s="31"/>
      <c r="O32" s="30"/>
    </row>
  </sheetData>
  <mergeCells count="60">
    <mergeCell ref="B22:O22"/>
    <mergeCell ref="B23:C23"/>
    <mergeCell ref="D23:E23"/>
    <mergeCell ref="F23:O23"/>
    <mergeCell ref="J2:K2"/>
    <mergeCell ref="L2:O2"/>
    <mergeCell ref="J3:K3"/>
    <mergeCell ref="L3:O3"/>
    <mergeCell ref="B5:O8"/>
    <mergeCell ref="B31:C31"/>
    <mergeCell ref="D31:E31"/>
    <mergeCell ref="F31:O31"/>
    <mergeCell ref="B32:C32"/>
    <mergeCell ref="D32:E32"/>
    <mergeCell ref="F32:O32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2:C13"/>
    <mergeCell ref="D12:G13"/>
    <mergeCell ref="H12:I13"/>
    <mergeCell ref="J12:L13"/>
    <mergeCell ref="M12:O13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7:C27"/>
    <mergeCell ref="D27:E27"/>
    <mergeCell ref="F27:O27"/>
    <mergeCell ref="B30:C30"/>
    <mergeCell ref="D30:E30"/>
    <mergeCell ref="F30:O30"/>
    <mergeCell ref="B28:C28"/>
    <mergeCell ref="D28:E28"/>
    <mergeCell ref="F28:O28"/>
    <mergeCell ref="B29:C29"/>
    <mergeCell ref="D29:E29"/>
    <mergeCell ref="F29:O29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779F-D1AF-481E-BD4D-437A5CA93F08}">
  <sheetPr>
    <pageSetUpPr fitToPage="1"/>
  </sheetPr>
  <dimension ref="B1:M223"/>
  <sheetViews>
    <sheetView tabSelected="1" topLeftCell="I211" zoomScale="85" zoomScaleNormal="85" workbookViewId="0">
      <selection activeCell="B2" sqref="B2:M224"/>
    </sheetView>
  </sheetViews>
  <sheetFormatPr defaultColWidth="9" defaultRowHeight="17" x14ac:dyDescent="0.45"/>
  <cols>
    <col min="1" max="1" width="2" style="1" customWidth="1"/>
    <col min="2" max="2" width="5.33203125" style="1" customWidth="1"/>
    <col min="3" max="3" width="19.75" style="1" customWidth="1"/>
    <col min="4" max="4" width="26.58203125" style="1" customWidth="1"/>
    <col min="5" max="5" width="54.58203125" style="2" customWidth="1"/>
    <col min="6" max="6" width="5.25" style="2" customWidth="1"/>
    <col min="7" max="7" width="19.58203125" style="2" customWidth="1"/>
    <col min="8" max="8" width="21.83203125" style="16" customWidth="1"/>
    <col min="9" max="9" width="29.08203125" style="12" customWidth="1"/>
    <col min="10" max="10" width="28.33203125" style="12" customWidth="1"/>
    <col min="11" max="11" width="38.58203125" style="11" customWidth="1"/>
    <col min="12" max="12" width="92.33203125" style="12" customWidth="1"/>
    <col min="13" max="13" width="12.83203125" style="19" customWidth="1"/>
    <col min="14" max="16384" width="9" style="1"/>
  </cols>
  <sheetData>
    <row r="1" spans="2:13" ht="9" customHeight="1" thickBot="1" x14ac:dyDescent="0.5">
      <c r="B1" s="2"/>
      <c r="D1" s="2"/>
      <c r="E1" s="1"/>
      <c r="F1" s="1"/>
      <c r="G1" s="10"/>
      <c r="H1" s="12"/>
      <c r="I1" s="11"/>
      <c r="J1" s="11"/>
      <c r="K1" s="10"/>
      <c r="L1" s="1"/>
      <c r="M1" s="1"/>
    </row>
    <row r="2" spans="2:13" ht="26.15" customHeight="1" x14ac:dyDescent="0.45">
      <c r="B2" s="81" t="s">
        <v>446</v>
      </c>
      <c r="C2" s="82"/>
      <c r="D2" s="82"/>
      <c r="E2" s="82"/>
      <c r="F2" s="83"/>
      <c r="G2" s="10"/>
      <c r="H2" s="12"/>
      <c r="I2" s="11"/>
      <c r="J2" s="11"/>
      <c r="K2" s="10"/>
      <c r="L2" s="1"/>
      <c r="M2" s="1"/>
    </row>
    <row r="3" spans="2:13" ht="26.15" customHeight="1" thickBot="1" x14ac:dyDescent="0.5">
      <c r="B3" s="84"/>
      <c r="C3" s="85"/>
      <c r="D3" s="85"/>
      <c r="E3" s="85"/>
      <c r="F3" s="86"/>
      <c r="G3" s="10"/>
      <c r="H3" s="12"/>
      <c r="I3" s="11"/>
      <c r="J3" s="11"/>
      <c r="K3" s="10"/>
      <c r="L3" s="1"/>
      <c r="M3" s="1"/>
    </row>
    <row r="4" spans="2:13" x14ac:dyDescent="0.45">
      <c r="B4" s="2"/>
      <c r="D4" s="2"/>
      <c r="E4" s="1"/>
      <c r="F4" s="1"/>
      <c r="G4" s="10"/>
      <c r="H4" s="12"/>
      <c r="I4" s="11"/>
      <c r="J4" s="11"/>
      <c r="K4" s="10"/>
      <c r="L4" s="1"/>
      <c r="M4" s="1"/>
    </row>
    <row r="5" spans="2:13" ht="21" x14ac:dyDescent="0.45">
      <c r="B5" s="27" t="s">
        <v>425</v>
      </c>
      <c r="D5" s="2"/>
      <c r="E5" s="1"/>
      <c r="F5" s="1"/>
      <c r="G5" s="10"/>
      <c r="H5" s="12"/>
      <c r="I5" s="11"/>
      <c r="J5" s="11"/>
      <c r="K5" s="10"/>
      <c r="L5" s="1"/>
      <c r="M5" s="1"/>
    </row>
    <row r="6" spans="2:13" x14ac:dyDescent="0.45">
      <c r="B6" s="2"/>
      <c r="D6" s="2"/>
      <c r="E6" s="1"/>
      <c r="F6" s="1"/>
      <c r="G6" s="10"/>
      <c r="H6" s="12"/>
      <c r="I6" s="11"/>
      <c r="J6" s="11"/>
      <c r="K6" s="10"/>
      <c r="L6" s="1"/>
      <c r="M6" s="1"/>
    </row>
    <row r="7" spans="2:13" x14ac:dyDescent="0.45">
      <c r="B7" s="22"/>
      <c r="C7" s="8" t="s">
        <v>413</v>
      </c>
      <c r="D7" s="70" t="s">
        <v>417</v>
      </c>
      <c r="E7" s="70"/>
      <c r="F7" s="70"/>
      <c r="G7" s="10"/>
      <c r="H7" s="12"/>
      <c r="I7" s="11"/>
      <c r="J7" s="11"/>
      <c r="K7" s="10"/>
      <c r="L7" s="1"/>
      <c r="M7" s="1"/>
    </row>
    <row r="8" spans="2:13" x14ac:dyDescent="0.45">
      <c r="B8" s="22"/>
      <c r="C8" s="8" t="s">
        <v>414</v>
      </c>
      <c r="D8" s="70" t="s">
        <v>415</v>
      </c>
      <c r="E8" s="70"/>
      <c r="F8" s="70"/>
      <c r="G8" s="10"/>
      <c r="H8" s="12"/>
      <c r="I8" s="11"/>
      <c r="J8" s="11"/>
      <c r="K8" s="10"/>
      <c r="L8" s="1"/>
      <c r="M8" s="1"/>
    </row>
    <row r="9" spans="2:13" x14ac:dyDescent="0.45">
      <c r="B9" s="23"/>
      <c r="D9" s="2"/>
      <c r="E9" s="1"/>
      <c r="F9" s="1"/>
      <c r="G9" s="10"/>
      <c r="H9" s="12"/>
      <c r="I9" s="11"/>
      <c r="J9" s="11"/>
      <c r="K9" s="10"/>
      <c r="L9" s="1"/>
      <c r="M9" s="1"/>
    </row>
    <row r="10" spans="2:13" ht="21" x14ac:dyDescent="0.45">
      <c r="B10" s="27" t="s">
        <v>416</v>
      </c>
      <c r="C10" s="21"/>
      <c r="D10" s="2"/>
      <c r="E10" s="1"/>
      <c r="F10" s="1"/>
      <c r="G10" s="10"/>
      <c r="H10" s="12"/>
      <c r="I10" s="11"/>
      <c r="J10" s="11"/>
      <c r="K10" s="10"/>
      <c r="L10" s="1"/>
      <c r="M10" s="1"/>
    </row>
    <row r="11" spans="2:13" ht="34" customHeight="1" x14ac:dyDescent="0.45">
      <c r="B11" s="2"/>
      <c r="C11" s="87" t="s">
        <v>453</v>
      </c>
      <c r="D11" s="88"/>
      <c r="E11" s="88"/>
      <c r="F11" s="88"/>
      <c r="G11" s="10"/>
      <c r="H11" s="12"/>
      <c r="I11" s="11"/>
      <c r="J11" s="11"/>
      <c r="K11" s="10"/>
      <c r="L11" s="1"/>
      <c r="M11" s="1"/>
    </row>
    <row r="12" spans="2:13" x14ac:dyDescent="0.45">
      <c r="B12" s="2"/>
      <c r="D12" s="2"/>
      <c r="E12" s="6"/>
      <c r="F12" s="1"/>
      <c r="G12" s="10"/>
      <c r="H12" s="12"/>
      <c r="I12" s="11"/>
      <c r="J12" s="11"/>
      <c r="K12" s="10"/>
      <c r="L12" s="1"/>
      <c r="M12" s="1"/>
    </row>
    <row r="13" spans="2:13" ht="21" x14ac:dyDescent="0.45">
      <c r="B13" s="27" t="s">
        <v>424</v>
      </c>
      <c r="D13" s="2"/>
      <c r="E13" s="7"/>
      <c r="F13" s="1"/>
      <c r="G13" s="10"/>
      <c r="H13" s="12"/>
      <c r="I13" s="11"/>
      <c r="J13" s="11"/>
      <c r="K13" s="10"/>
      <c r="L13" s="1"/>
      <c r="M13" s="1"/>
    </row>
    <row r="14" spans="2:13" x14ac:dyDescent="0.45">
      <c r="B14" s="2"/>
      <c r="C14" s="6"/>
      <c r="D14" s="2"/>
      <c r="E14" s="6"/>
      <c r="F14" s="1"/>
      <c r="G14" s="10"/>
      <c r="H14" s="12"/>
      <c r="I14" s="11"/>
      <c r="J14" s="11"/>
      <c r="K14" s="10"/>
      <c r="L14" s="1"/>
      <c r="M14" s="1"/>
    </row>
    <row r="15" spans="2:13" ht="17.5" x14ac:dyDescent="0.45">
      <c r="B15" s="2"/>
      <c r="C15" s="26" t="s">
        <v>418</v>
      </c>
      <c r="D15" s="89" t="s">
        <v>419</v>
      </c>
      <c r="E15" s="89"/>
      <c r="F15" s="89"/>
      <c r="G15" s="10"/>
      <c r="H15" s="12"/>
      <c r="I15" s="11"/>
      <c r="J15" s="11"/>
      <c r="K15" s="10"/>
      <c r="L15" s="1"/>
      <c r="M15" s="1"/>
    </row>
    <row r="16" spans="2:13" x14ac:dyDescent="0.45">
      <c r="B16" s="2"/>
      <c r="C16" s="24" t="s">
        <v>433</v>
      </c>
      <c r="D16" s="90" t="s">
        <v>434</v>
      </c>
      <c r="E16" s="90"/>
      <c r="F16" s="90"/>
      <c r="G16" s="10"/>
      <c r="H16" s="12"/>
      <c r="I16" s="11"/>
      <c r="J16" s="11"/>
      <c r="K16" s="10"/>
      <c r="L16" s="1"/>
      <c r="M16" s="1"/>
    </row>
    <row r="17" spans="2:13" x14ac:dyDescent="0.45">
      <c r="B17" s="2"/>
      <c r="C17" s="24" t="s">
        <v>435</v>
      </c>
      <c r="D17" s="90" t="s">
        <v>447</v>
      </c>
      <c r="E17" s="90"/>
      <c r="F17" s="90"/>
      <c r="G17" s="10"/>
      <c r="H17" s="12"/>
      <c r="I17" s="11"/>
      <c r="J17" s="11"/>
      <c r="K17" s="10"/>
      <c r="L17" s="1"/>
      <c r="M17" s="1"/>
    </row>
    <row r="18" spans="2:13" x14ac:dyDescent="0.45">
      <c r="B18" s="2"/>
      <c r="C18" s="24" t="s">
        <v>436</v>
      </c>
      <c r="D18" s="90" t="s">
        <v>437</v>
      </c>
      <c r="E18" s="90"/>
      <c r="F18" s="90"/>
      <c r="G18" s="10"/>
      <c r="H18" s="12"/>
      <c r="I18" s="11"/>
      <c r="J18" s="11"/>
      <c r="K18" s="10"/>
      <c r="L18" s="1"/>
      <c r="M18" s="1"/>
    </row>
    <row r="19" spans="2:13" x14ac:dyDescent="0.45">
      <c r="B19" s="2"/>
      <c r="C19" s="24" t="s">
        <v>438</v>
      </c>
      <c r="D19" s="90" t="s">
        <v>448</v>
      </c>
      <c r="E19" s="90"/>
      <c r="F19" s="90"/>
      <c r="G19" s="10"/>
      <c r="H19" s="12"/>
      <c r="I19" s="11"/>
      <c r="J19" s="11"/>
      <c r="K19" s="10"/>
      <c r="L19" s="1"/>
      <c r="M19" s="1"/>
    </row>
    <row r="20" spans="2:13" x14ac:dyDescent="0.45">
      <c r="B20" s="2"/>
      <c r="C20" s="24" t="s">
        <v>420</v>
      </c>
      <c r="D20" s="91" t="s">
        <v>440</v>
      </c>
      <c r="E20" s="92"/>
      <c r="F20" s="93"/>
      <c r="G20" s="10"/>
      <c r="H20" s="12"/>
      <c r="I20" s="11"/>
      <c r="J20" s="11"/>
      <c r="K20" s="10"/>
      <c r="L20" s="1"/>
      <c r="M20" s="1"/>
    </row>
    <row r="21" spans="2:13" x14ac:dyDescent="0.45">
      <c r="B21" s="2"/>
      <c r="C21" s="24" t="s">
        <v>439</v>
      </c>
      <c r="D21" s="91" t="s">
        <v>441</v>
      </c>
      <c r="E21" s="92"/>
      <c r="F21" s="93"/>
      <c r="G21" s="10"/>
      <c r="H21" s="12"/>
      <c r="I21" s="11"/>
      <c r="J21" s="11"/>
      <c r="K21" s="10"/>
      <c r="L21" s="1"/>
      <c r="M21" s="1"/>
    </row>
    <row r="22" spans="2:13" ht="19" customHeight="1" x14ac:dyDescent="0.45">
      <c r="B22" s="2"/>
      <c r="C22" s="24" t="s">
        <v>442</v>
      </c>
      <c r="D22" s="91" t="s">
        <v>443</v>
      </c>
      <c r="E22" s="92"/>
      <c r="F22" s="93"/>
      <c r="G22" s="10"/>
      <c r="H22" s="12"/>
      <c r="I22" s="11"/>
      <c r="J22" s="11"/>
      <c r="K22" s="10"/>
      <c r="L22" s="1"/>
      <c r="M22" s="1"/>
    </row>
    <row r="23" spans="2:13" x14ac:dyDescent="0.45">
      <c r="B23" s="2"/>
      <c r="C23" s="24" t="s">
        <v>421</v>
      </c>
      <c r="D23" s="90" t="s">
        <v>422</v>
      </c>
      <c r="E23" s="90"/>
      <c r="F23" s="90"/>
      <c r="G23" s="10"/>
      <c r="H23" s="12"/>
      <c r="I23" s="11"/>
      <c r="J23" s="11"/>
      <c r="K23" s="10"/>
      <c r="L23" s="1"/>
      <c r="M23" s="1"/>
    </row>
    <row r="24" spans="2:13" x14ac:dyDescent="0.45">
      <c r="B24" s="2"/>
      <c r="C24" s="24" t="s">
        <v>423</v>
      </c>
      <c r="D24" s="90" t="s">
        <v>444</v>
      </c>
      <c r="E24" s="90"/>
      <c r="F24" s="90"/>
      <c r="G24" s="10"/>
      <c r="H24" s="12"/>
      <c r="I24" s="11"/>
      <c r="J24" s="11"/>
      <c r="K24" s="10"/>
      <c r="L24" s="1"/>
      <c r="M24" s="1"/>
    </row>
    <row r="25" spans="2:13" x14ac:dyDescent="0.45">
      <c r="B25" s="2"/>
      <c r="C25" s="25"/>
      <c r="D25" s="28"/>
      <c r="E25" s="25"/>
      <c r="F25" s="25"/>
      <c r="G25" s="10"/>
      <c r="H25" s="12"/>
      <c r="I25" s="11"/>
      <c r="J25" s="11"/>
      <c r="K25" s="10"/>
      <c r="L25" s="1"/>
      <c r="M25" s="1"/>
    </row>
    <row r="26" spans="2:13" ht="21" x14ac:dyDescent="0.45">
      <c r="B26" s="27" t="s">
        <v>427</v>
      </c>
      <c r="C26" s="25"/>
      <c r="D26" s="25"/>
      <c r="E26" s="25"/>
      <c r="F26" s="25"/>
      <c r="G26" s="10"/>
      <c r="H26" s="12"/>
      <c r="I26" s="11"/>
      <c r="J26" s="11"/>
      <c r="K26" s="10"/>
      <c r="L26" s="1"/>
      <c r="M26" s="1"/>
    </row>
    <row r="27" spans="2:13" x14ac:dyDescent="0.45">
      <c r="B27" s="21"/>
      <c r="C27" s="24" t="s">
        <v>430</v>
      </c>
      <c r="D27" s="90" t="s">
        <v>429</v>
      </c>
      <c r="E27" s="90"/>
      <c r="F27" s="90"/>
      <c r="G27" s="10"/>
      <c r="H27" s="12"/>
      <c r="I27" s="11"/>
      <c r="J27" s="11"/>
      <c r="K27" s="10"/>
      <c r="L27" s="1"/>
      <c r="M27" s="1"/>
    </row>
    <row r="28" spans="2:13" x14ac:dyDescent="0.45">
      <c r="B28" s="21"/>
      <c r="C28" s="24" t="s">
        <v>431</v>
      </c>
      <c r="D28" s="90" t="s">
        <v>452</v>
      </c>
      <c r="E28" s="90"/>
      <c r="F28" s="90"/>
      <c r="G28" s="10"/>
      <c r="H28" s="12"/>
      <c r="I28" s="11"/>
      <c r="J28" s="11"/>
      <c r="K28" s="10"/>
      <c r="L28" s="1"/>
      <c r="M28" s="1"/>
    </row>
    <row r="29" spans="2:13" x14ac:dyDescent="0.45">
      <c r="B29" s="2"/>
      <c r="C29" s="24" t="s">
        <v>428</v>
      </c>
      <c r="D29" s="90" t="s">
        <v>432</v>
      </c>
      <c r="E29" s="90"/>
      <c r="F29" s="90"/>
      <c r="G29" s="10"/>
      <c r="H29" s="12"/>
      <c r="I29" s="11"/>
      <c r="J29" s="11"/>
      <c r="K29" s="10"/>
      <c r="L29" s="1"/>
      <c r="M29" s="1"/>
    </row>
    <row r="30" spans="2:13" x14ac:dyDescent="0.45">
      <c r="B30" s="2"/>
      <c r="C30" s="25"/>
      <c r="D30" s="25"/>
      <c r="E30" s="25"/>
      <c r="F30" s="25"/>
      <c r="G30" s="10"/>
      <c r="H30" s="12"/>
      <c r="I30" s="11"/>
      <c r="J30" s="11"/>
      <c r="K30" s="10"/>
      <c r="L30" s="1"/>
      <c r="M30" s="1"/>
    </row>
    <row r="31" spans="2:13" ht="21" x14ac:dyDescent="0.45">
      <c r="B31" s="27" t="s">
        <v>426</v>
      </c>
      <c r="D31" s="2"/>
      <c r="E31" s="1"/>
      <c r="F31" s="1"/>
      <c r="G31" s="10"/>
      <c r="H31" s="12"/>
      <c r="I31" s="11"/>
      <c r="J31" s="11"/>
      <c r="K31" s="10"/>
      <c r="L31" s="1"/>
      <c r="M31" s="1"/>
    </row>
    <row r="32" spans="2:13" ht="33" customHeight="1" x14ac:dyDescent="0.45">
      <c r="B32" s="77" t="s">
        <v>38</v>
      </c>
      <c r="C32" s="77" t="s">
        <v>64</v>
      </c>
      <c r="D32" s="78" t="s">
        <v>10</v>
      </c>
      <c r="E32" s="78" t="s">
        <v>12</v>
      </c>
      <c r="F32" s="78" t="s">
        <v>11</v>
      </c>
      <c r="G32" s="79" t="s">
        <v>21</v>
      </c>
      <c r="H32" s="80" t="s">
        <v>194</v>
      </c>
      <c r="I32" s="69" t="s">
        <v>15</v>
      </c>
      <c r="J32" s="69" t="s">
        <v>16</v>
      </c>
      <c r="K32" s="69" t="s">
        <v>14</v>
      </c>
      <c r="L32" s="75" t="s">
        <v>227</v>
      </c>
      <c r="M32" s="76" t="s">
        <v>17</v>
      </c>
    </row>
    <row r="33" spans="2:13" ht="25.5" customHeight="1" x14ac:dyDescent="0.45">
      <c r="B33" s="77"/>
      <c r="C33" s="77"/>
      <c r="D33" s="78"/>
      <c r="E33" s="78"/>
      <c r="F33" s="78"/>
      <c r="G33" s="79"/>
      <c r="H33" s="80"/>
      <c r="I33" s="69"/>
      <c r="J33" s="69"/>
      <c r="K33" s="69"/>
      <c r="L33" s="75"/>
      <c r="M33" s="76"/>
    </row>
    <row r="34" spans="2:13" ht="85" x14ac:dyDescent="0.45">
      <c r="B34" s="70" t="s">
        <v>103</v>
      </c>
      <c r="C34" s="71" t="s">
        <v>102</v>
      </c>
      <c r="D34" s="4" t="str">
        <f>IF(COUNTA(E34),_xlfn.CONCAT("SW-FW-UnitTest-CFX-ID-",COUNTA(E$34:E34)),"")</f>
        <v>SW-FW-UnitTest-CFX-ID-1</v>
      </c>
      <c r="E34" s="3" t="s">
        <v>35</v>
      </c>
      <c r="F34" s="3" t="s">
        <v>20</v>
      </c>
      <c r="G34" s="3" t="s">
        <v>454</v>
      </c>
      <c r="H34" s="17" t="s">
        <v>13</v>
      </c>
      <c r="I34" s="14" t="s">
        <v>13</v>
      </c>
      <c r="J34" s="14" t="s">
        <v>22</v>
      </c>
      <c r="K34" s="9" t="s">
        <v>23</v>
      </c>
      <c r="L34" s="13" t="s">
        <v>253</v>
      </c>
      <c r="M34" s="17" t="s">
        <v>228</v>
      </c>
    </row>
    <row r="35" spans="2:13" x14ac:dyDescent="0.45">
      <c r="B35" s="70"/>
      <c r="C35" s="71"/>
      <c r="D35" s="4" t="str">
        <f>IF(COUNTA(E35),_xlfn.CONCAT("SW-FW-UnitTest-CFX-ID-",COUNTA(E$34:E35)),"")</f>
        <v>SW-FW-UnitTest-CFX-ID-2</v>
      </c>
      <c r="E35" s="3" t="s">
        <v>24</v>
      </c>
      <c r="F35" s="3" t="s">
        <v>20</v>
      </c>
      <c r="G35" s="3" t="s">
        <v>455</v>
      </c>
      <c r="H35" s="17" t="s">
        <v>13</v>
      </c>
      <c r="I35" s="14" t="s">
        <v>13</v>
      </c>
      <c r="J35" s="14" t="s">
        <v>22</v>
      </c>
      <c r="K35" s="18" t="str">
        <f t="shared" ref="K35:K53" si="0">_xlfn.CONCAT("- ", E35, " 구현")</f>
        <v>- 타이머 중지 구현</v>
      </c>
      <c r="L35" s="13" t="s">
        <v>229</v>
      </c>
      <c r="M35" s="17" t="s">
        <v>228</v>
      </c>
    </row>
    <row r="36" spans="2:13" ht="34" x14ac:dyDescent="0.45">
      <c r="B36" s="70"/>
      <c r="C36" s="71"/>
      <c r="D36" s="4" t="str">
        <f>IF(COUNTA(E36),_xlfn.CONCAT("SW-FW-UnitTest-CFX-ID-",COUNTA(E$34:E36)),"")</f>
        <v>SW-FW-UnitTest-CFX-ID-3</v>
      </c>
      <c r="E36" s="3" t="s">
        <v>25</v>
      </c>
      <c r="F36" s="3" t="s">
        <v>20</v>
      </c>
      <c r="G36" s="3" t="s">
        <v>456</v>
      </c>
      <c r="H36" s="17" t="s">
        <v>13</v>
      </c>
      <c r="I36" s="14" t="s">
        <v>13</v>
      </c>
      <c r="J36" s="14" t="s">
        <v>22</v>
      </c>
      <c r="K36" s="18" t="str">
        <f t="shared" si="0"/>
        <v>- 인터럽트 초기화 구현</v>
      </c>
      <c r="L36" s="13" t="s">
        <v>254</v>
      </c>
      <c r="M36" s="17" t="s">
        <v>228</v>
      </c>
    </row>
    <row r="37" spans="2:13" x14ac:dyDescent="0.45">
      <c r="B37" s="70"/>
      <c r="C37" s="71"/>
      <c r="D37" s="4" t="str">
        <f>IF(COUNTA(E37),_xlfn.CONCAT("SW-FW-UnitTest-CFX-ID-",COUNTA(E$34:E37)),"")</f>
        <v>SW-FW-UnitTest-CFX-ID-4</v>
      </c>
      <c r="E37" s="3" t="s">
        <v>26</v>
      </c>
      <c r="F37" s="3" t="s">
        <v>20</v>
      </c>
      <c r="G37" s="3" t="s">
        <v>457</v>
      </c>
      <c r="H37" s="17" t="s">
        <v>13</v>
      </c>
      <c r="I37" s="14" t="s">
        <v>13</v>
      </c>
      <c r="J37" s="14" t="s">
        <v>22</v>
      </c>
      <c r="K37" s="18" t="str">
        <f t="shared" si="0"/>
        <v>- 저전력 모드 비활성화 구현</v>
      </c>
      <c r="L37" s="13" t="s">
        <v>255</v>
      </c>
      <c r="M37" s="17" t="s">
        <v>228</v>
      </c>
    </row>
    <row r="38" spans="2:13" x14ac:dyDescent="0.45">
      <c r="B38" s="70"/>
      <c r="C38" s="71"/>
      <c r="D38" s="4" t="str">
        <f>IF(COUNTA(E38),_xlfn.CONCAT("SW-FW-UnitTest-CFX-ID-",COUNTA(E$34:E38)),"")</f>
        <v>SW-FW-UnitTest-CFX-ID-5</v>
      </c>
      <c r="E38" s="3" t="s">
        <v>27</v>
      </c>
      <c r="F38" s="3" t="s">
        <v>20</v>
      </c>
      <c r="G38" s="3" t="s">
        <v>458</v>
      </c>
      <c r="H38" s="17" t="s">
        <v>13</v>
      </c>
      <c r="I38" s="14" t="s">
        <v>13</v>
      </c>
      <c r="J38" s="14" t="s">
        <v>22</v>
      </c>
      <c r="K38" s="18" t="str">
        <f t="shared" si="0"/>
        <v>- 전원 안정화 대기 구현</v>
      </c>
      <c r="L38" s="13" t="s">
        <v>256</v>
      </c>
      <c r="M38" s="17" t="s">
        <v>228</v>
      </c>
    </row>
    <row r="39" spans="2:13" ht="34" x14ac:dyDescent="0.45">
      <c r="B39" s="70"/>
      <c r="C39" s="71"/>
      <c r="D39" s="4" t="str">
        <f>IF(COUNTA(E39),_xlfn.CONCAT("SW-FW-UnitTest-CFX-ID-",COUNTA(E$34:E39)),"")</f>
        <v>SW-FW-UnitTest-CFX-ID-6</v>
      </c>
      <c r="E39" s="3" t="s">
        <v>28</v>
      </c>
      <c r="F39" s="3" t="s">
        <v>20</v>
      </c>
      <c r="G39" s="3" t="s">
        <v>459</v>
      </c>
      <c r="H39" s="17" t="s">
        <v>13</v>
      </c>
      <c r="I39" s="14" t="s">
        <v>13</v>
      </c>
      <c r="J39" s="14" t="s">
        <v>22</v>
      </c>
      <c r="K39" s="18" t="str">
        <f t="shared" si="0"/>
        <v>- MCU 리셋 및 중지 구현</v>
      </c>
      <c r="L39" s="13" t="s">
        <v>257</v>
      </c>
      <c r="M39" s="17" t="s">
        <v>228</v>
      </c>
    </row>
    <row r="40" spans="2:13" ht="68" x14ac:dyDescent="0.45">
      <c r="B40" s="70"/>
      <c r="C40" s="71"/>
      <c r="D40" s="4" t="str">
        <f>IF(COUNTA(E40),_xlfn.CONCAT("SW-FW-UnitTest-CFX-ID-",COUNTA(E$34:E40)),"")</f>
        <v>SW-FW-UnitTest-CFX-ID-7</v>
      </c>
      <c r="E40" s="3" t="s">
        <v>29</v>
      </c>
      <c r="F40" s="3" t="s">
        <v>20</v>
      </c>
      <c r="G40" s="3" t="s">
        <v>460</v>
      </c>
      <c r="H40" s="17" t="s">
        <v>13</v>
      </c>
      <c r="I40" s="14" t="s">
        <v>13</v>
      </c>
      <c r="J40" s="14" t="s">
        <v>22</v>
      </c>
      <c r="K40" s="18" t="str">
        <f t="shared" si="0"/>
        <v>- 동작 클럭 설정 구현</v>
      </c>
      <c r="L40" s="13" t="s">
        <v>258</v>
      </c>
      <c r="M40" s="17" t="s">
        <v>228</v>
      </c>
    </row>
    <row r="41" spans="2:13" ht="51" x14ac:dyDescent="0.45">
      <c r="B41" s="70"/>
      <c r="C41" s="71"/>
      <c r="D41" s="4" t="str">
        <f>IF(COUNTA(E41),_xlfn.CONCAT("SW-FW-UnitTest-CFX-ID-",COUNTA(E$34:E41)),"")</f>
        <v>SW-FW-UnitTest-CFX-ID-8</v>
      </c>
      <c r="E41" s="3" t="s">
        <v>30</v>
      </c>
      <c r="F41" s="3" t="s">
        <v>20</v>
      </c>
      <c r="G41" s="3" t="s">
        <v>461</v>
      </c>
      <c r="H41" s="17" t="s">
        <v>13</v>
      </c>
      <c r="I41" s="14" t="s">
        <v>13</v>
      </c>
      <c r="J41" s="14" t="s">
        <v>22</v>
      </c>
      <c r="K41" s="18" t="str">
        <f t="shared" si="0"/>
        <v>- 메인 MCU 초기화 구현</v>
      </c>
      <c r="L41" s="13" t="s">
        <v>259</v>
      </c>
      <c r="M41" s="17" t="s">
        <v>228</v>
      </c>
    </row>
    <row r="42" spans="2:13" ht="136" x14ac:dyDescent="0.45">
      <c r="B42" s="70"/>
      <c r="C42" s="71"/>
      <c r="D42" s="4" t="str">
        <f>IF(COUNTA(E42),_xlfn.CONCAT("SW-FW-UnitTest-CFX-ID-",COUNTA(E$34:E42)),"")</f>
        <v>SW-FW-UnitTest-CFX-ID-9</v>
      </c>
      <c r="E42" s="3" t="s">
        <v>31</v>
      </c>
      <c r="F42" s="3" t="s">
        <v>20</v>
      </c>
      <c r="G42" s="3" t="s">
        <v>462</v>
      </c>
      <c r="H42" s="17" t="s">
        <v>13</v>
      </c>
      <c r="I42" s="14" t="s">
        <v>13</v>
      </c>
      <c r="J42" s="14" t="s">
        <v>22</v>
      </c>
      <c r="K42" s="18" t="str">
        <f t="shared" si="0"/>
        <v>- 입/출력단 비활성화 구현</v>
      </c>
      <c r="L42" s="13" t="s">
        <v>260</v>
      </c>
      <c r="M42" s="17" t="s">
        <v>228</v>
      </c>
    </row>
    <row r="43" spans="2:13" ht="51" x14ac:dyDescent="0.45">
      <c r="B43" s="70"/>
      <c r="C43" s="71"/>
      <c r="D43" s="4" t="str">
        <f>IF(COUNTA(E43),_xlfn.CONCAT("SW-FW-UnitTest-CFX-ID-",COUNTA(E$34:E43)),"")</f>
        <v>SW-FW-UnitTest-CFX-ID-10</v>
      </c>
      <c r="E43" s="3" t="s">
        <v>32</v>
      </c>
      <c r="F43" s="3" t="s">
        <v>20</v>
      </c>
      <c r="G43" s="3" t="s">
        <v>463</v>
      </c>
      <c r="H43" s="17" t="s">
        <v>13</v>
      </c>
      <c r="I43" s="14" t="s">
        <v>13</v>
      </c>
      <c r="J43" s="14" t="s">
        <v>22</v>
      </c>
      <c r="K43" s="18" t="str">
        <f t="shared" si="0"/>
        <v>- FIFO 초기화 구현</v>
      </c>
      <c r="L43" s="13" t="s">
        <v>261</v>
      </c>
      <c r="M43" s="17" t="s">
        <v>228</v>
      </c>
    </row>
    <row r="44" spans="2:13" ht="68" x14ac:dyDescent="0.45">
      <c r="B44" s="70"/>
      <c r="C44" s="71"/>
      <c r="D44" s="4" t="str">
        <f>IF(COUNTA(E44),_xlfn.CONCAT("SW-FW-UnitTest-CFX-ID-",COUNTA(E$34:E44)),"")</f>
        <v>SW-FW-UnitTest-CFX-ID-11</v>
      </c>
      <c r="E44" s="3" t="s">
        <v>33</v>
      </c>
      <c r="F44" s="3" t="s">
        <v>20</v>
      </c>
      <c r="G44" s="3" t="s">
        <v>464</v>
      </c>
      <c r="H44" s="17" t="s">
        <v>13</v>
      </c>
      <c r="I44" s="14" t="s">
        <v>13</v>
      </c>
      <c r="J44" s="14" t="s">
        <v>22</v>
      </c>
      <c r="K44" s="18" t="str">
        <f t="shared" si="0"/>
        <v>- IOC 설정 구현</v>
      </c>
      <c r="L44" s="13" t="s">
        <v>262</v>
      </c>
      <c r="M44" s="17" t="s">
        <v>228</v>
      </c>
    </row>
    <row r="45" spans="2:13" ht="68" x14ac:dyDescent="0.45">
      <c r="B45" s="70"/>
      <c r="C45" s="71"/>
      <c r="D45" s="4" t="str">
        <f>IF(COUNTA(E45),_xlfn.CONCAT("SW-FW-UnitTest-CFX-ID-",COUNTA(E$34:E45)),"")</f>
        <v>SW-FW-UnitTest-CFX-ID-12</v>
      </c>
      <c r="E45" s="3" t="s">
        <v>34</v>
      </c>
      <c r="F45" s="3" t="s">
        <v>20</v>
      </c>
      <c r="G45" s="3" t="s">
        <v>465</v>
      </c>
      <c r="H45" s="17" t="s">
        <v>13</v>
      </c>
      <c r="I45" s="14" t="s">
        <v>13</v>
      </c>
      <c r="J45" s="14" t="s">
        <v>22</v>
      </c>
      <c r="K45" s="18" t="str">
        <f t="shared" si="0"/>
        <v>- 오디오 MUX 설정 구현</v>
      </c>
      <c r="L45" s="13" t="s">
        <v>263</v>
      </c>
      <c r="M45" s="17" t="s">
        <v>228</v>
      </c>
    </row>
    <row r="46" spans="2:13" ht="34" x14ac:dyDescent="0.45">
      <c r="B46" s="70"/>
      <c r="C46" s="71"/>
      <c r="D46" s="4" t="str">
        <f>IF(COUNTA(E46),_xlfn.CONCAT("SW-FW-UnitTest-CFX-ID-",COUNTA(E$34:E46)),"")</f>
        <v>SW-FW-UnitTest-CFX-ID-13</v>
      </c>
      <c r="E46" s="3" t="s">
        <v>39</v>
      </c>
      <c r="F46" s="3" t="s">
        <v>20</v>
      </c>
      <c r="G46" s="3" t="s">
        <v>466</v>
      </c>
      <c r="H46" s="17" t="s">
        <v>13</v>
      </c>
      <c r="I46" s="14" t="s">
        <v>13</v>
      </c>
      <c r="J46" s="14" t="s">
        <v>22</v>
      </c>
      <c r="K46" s="18" t="str">
        <f t="shared" si="0"/>
        <v>- ADC 설정 구현</v>
      </c>
      <c r="L46" s="13" t="s">
        <v>264</v>
      </c>
      <c r="M46" s="17" t="s">
        <v>228</v>
      </c>
    </row>
    <row r="47" spans="2:13" ht="34" x14ac:dyDescent="0.45">
      <c r="B47" s="70"/>
      <c r="C47" s="71"/>
      <c r="D47" s="4" t="str">
        <f>IF(COUNTA(E47),_xlfn.CONCAT("SW-FW-UnitTest-CFX-ID-",COUNTA(E$34:E47)),"")</f>
        <v>SW-FW-UnitTest-CFX-ID-14</v>
      </c>
      <c r="E47" s="3" t="s">
        <v>40</v>
      </c>
      <c r="F47" s="3" t="s">
        <v>20</v>
      </c>
      <c r="G47" s="3" t="s">
        <v>467</v>
      </c>
      <c r="H47" s="17" t="s">
        <v>13</v>
      </c>
      <c r="I47" s="14" t="s">
        <v>13</v>
      </c>
      <c r="J47" s="14" t="s">
        <v>22</v>
      </c>
      <c r="K47" s="18" t="str">
        <f t="shared" si="0"/>
        <v>- DAC 설정 구현</v>
      </c>
      <c r="L47" s="13" t="s">
        <v>265</v>
      </c>
      <c r="M47" s="17" t="s">
        <v>228</v>
      </c>
    </row>
    <row r="48" spans="2:13" x14ac:dyDescent="0.45">
      <c r="B48" s="70"/>
      <c r="C48" s="71"/>
      <c r="D48" s="4" t="str">
        <f>IF(COUNTA(E48),_xlfn.CONCAT("SW-FW-UnitTest-CFX-ID-",COUNTA(E$34:E48)),"")</f>
        <v>SW-FW-UnitTest-CFX-ID-15</v>
      </c>
      <c r="E48" s="3" t="s">
        <v>62</v>
      </c>
      <c r="F48" s="3" t="s">
        <v>20</v>
      </c>
      <c r="G48" s="3" t="s">
        <v>468</v>
      </c>
      <c r="H48" s="17" t="s">
        <v>13</v>
      </c>
      <c r="I48" s="14" t="s">
        <v>13</v>
      </c>
      <c r="J48" s="14" t="s">
        <v>22</v>
      </c>
      <c r="K48" s="18" t="str">
        <f t="shared" si="0"/>
        <v>- LSAD 설정 구현</v>
      </c>
      <c r="L48" s="13" t="s">
        <v>266</v>
      </c>
      <c r="M48" s="17" t="s">
        <v>228</v>
      </c>
    </row>
    <row r="49" spans="2:13" x14ac:dyDescent="0.45">
      <c r="B49" s="70"/>
      <c r="C49" s="71"/>
      <c r="D49" s="4" t="str">
        <f>IF(COUNTA(E49),_xlfn.CONCAT("SW-FW-UnitTest-CFX-ID-",COUNTA(E$34:E49)),"")</f>
        <v>SW-FW-UnitTest-CFX-ID-16</v>
      </c>
      <c r="E49" s="3" t="s">
        <v>41</v>
      </c>
      <c r="F49" s="3" t="s">
        <v>20</v>
      </c>
      <c r="G49" s="3" t="s">
        <v>468</v>
      </c>
      <c r="H49" s="17" t="s">
        <v>13</v>
      </c>
      <c r="I49" s="14" t="s">
        <v>13</v>
      </c>
      <c r="J49" s="14" t="s">
        <v>22</v>
      </c>
      <c r="K49" s="18" t="str">
        <f t="shared" si="0"/>
        <v>- Hear Core, Fuction chain 활성화 구현</v>
      </c>
      <c r="L49" s="13" t="s">
        <v>267</v>
      </c>
      <c r="M49" s="17" t="s">
        <v>228</v>
      </c>
    </row>
    <row r="50" spans="2:13" x14ac:dyDescent="0.45">
      <c r="B50" s="70"/>
      <c r="C50" s="71"/>
      <c r="D50" s="4" t="str">
        <f>IF(COUNTA(E50),_xlfn.CONCAT("SW-FW-UnitTest-CFX-ID-",COUNTA(E$34:E50)),"")</f>
        <v>SW-FW-UnitTest-CFX-ID-17</v>
      </c>
      <c r="E50" s="3" t="s">
        <v>42</v>
      </c>
      <c r="F50" s="3" t="s">
        <v>20</v>
      </c>
      <c r="G50" s="3" t="s">
        <v>469</v>
      </c>
      <c r="H50" s="17" t="s">
        <v>13</v>
      </c>
      <c r="I50" s="14" t="s">
        <v>13</v>
      </c>
      <c r="J50" s="14" t="s">
        <v>22</v>
      </c>
      <c r="K50" s="18" t="str">
        <f t="shared" si="0"/>
        <v>- 인터럽트 설정 1차 구현</v>
      </c>
      <c r="L50" s="13" t="s">
        <v>268</v>
      </c>
      <c r="M50" s="17" t="s">
        <v>228</v>
      </c>
    </row>
    <row r="51" spans="2:13" ht="102" x14ac:dyDescent="0.45">
      <c r="B51" s="70"/>
      <c r="C51" s="71"/>
      <c r="D51" s="4" t="str">
        <f>IF(COUNTA(E51),_xlfn.CONCAT("SW-FW-UnitTest-CFX-ID-",COUNTA(E$34:E51)),"")</f>
        <v>SW-FW-UnitTest-CFX-ID-18</v>
      </c>
      <c r="E51" s="3" t="s">
        <v>43</v>
      </c>
      <c r="F51" s="3" t="s">
        <v>20</v>
      </c>
      <c r="G51" s="3" t="s">
        <v>470</v>
      </c>
      <c r="H51" s="17" t="s">
        <v>13</v>
      </c>
      <c r="I51" s="14" t="s">
        <v>13</v>
      </c>
      <c r="J51" s="14" t="s">
        <v>22</v>
      </c>
      <c r="K51" s="18" t="str">
        <f t="shared" si="0"/>
        <v>- DIO 설정  2차 구현</v>
      </c>
      <c r="L51" s="13" t="s">
        <v>269</v>
      </c>
      <c r="M51" s="17" t="s">
        <v>228</v>
      </c>
    </row>
    <row r="52" spans="2:13" ht="34" x14ac:dyDescent="0.45">
      <c r="B52" s="70"/>
      <c r="C52" s="71"/>
      <c r="D52" s="4" t="str">
        <f>IF(COUNTA(E52),_xlfn.CONCAT("SW-FW-UnitTest-CFX-ID-",COUNTA(E$34:E52)),"")</f>
        <v>SW-FW-UnitTest-CFX-ID-19</v>
      </c>
      <c r="E52" s="3" t="s">
        <v>36</v>
      </c>
      <c r="F52" s="3" t="s">
        <v>20</v>
      </c>
      <c r="G52" s="3" t="s">
        <v>471</v>
      </c>
      <c r="H52" s="17" t="s">
        <v>13</v>
      </c>
      <c r="I52" s="14" t="s">
        <v>13</v>
      </c>
      <c r="J52" s="14" t="s">
        <v>22</v>
      </c>
      <c r="K52" s="18" t="str">
        <f t="shared" si="0"/>
        <v>- MCU 시작 구현</v>
      </c>
      <c r="L52" s="13" t="s">
        <v>270</v>
      </c>
      <c r="M52" s="17" t="s">
        <v>228</v>
      </c>
    </row>
    <row r="53" spans="2:13" x14ac:dyDescent="0.45">
      <c r="B53" s="70"/>
      <c r="C53" s="71"/>
      <c r="D53" s="4" t="str">
        <f>IF(COUNTA(E53),_xlfn.CONCAT("SW-FW-UnitTest-CFX-ID-",COUNTA(E$34:E53)),"")</f>
        <v>SW-FW-UnitTest-CFX-ID-20</v>
      </c>
      <c r="E53" s="3" t="s">
        <v>44</v>
      </c>
      <c r="F53" s="3" t="s">
        <v>20</v>
      </c>
      <c r="G53" s="3" t="s">
        <v>472</v>
      </c>
      <c r="H53" s="17" t="s">
        <v>13</v>
      </c>
      <c r="I53" s="14" t="s">
        <v>13</v>
      </c>
      <c r="J53" s="14" t="s">
        <v>22</v>
      </c>
      <c r="K53" s="18" t="str">
        <f t="shared" si="0"/>
        <v>- 메모리 초기화 대기 구현</v>
      </c>
      <c r="L53" s="13" t="s">
        <v>271</v>
      </c>
      <c r="M53" s="17" t="s">
        <v>228</v>
      </c>
    </row>
    <row r="54" spans="2:13" x14ac:dyDescent="0.45">
      <c r="B54" s="70"/>
      <c r="C54" s="71"/>
      <c r="D54" s="4" t="str">
        <f>IF(COUNTA(E54),_xlfn.CONCAT("SW-FW-UnitTest-CFX-ID-",COUNTA(E$34:E54)),"")</f>
        <v>SW-FW-UnitTest-CFX-ID-21</v>
      </c>
      <c r="E54" s="3" t="s">
        <v>45</v>
      </c>
      <c r="F54" s="3" t="s">
        <v>20</v>
      </c>
      <c r="G54" s="3" t="s">
        <v>473</v>
      </c>
      <c r="H54" s="17" t="s">
        <v>13</v>
      </c>
      <c r="I54" s="14" t="s">
        <v>13</v>
      </c>
      <c r="J54" s="14" t="s">
        <v>22</v>
      </c>
      <c r="K54" s="9" t="s">
        <v>23</v>
      </c>
      <c r="L54" s="13" t="s">
        <v>272</v>
      </c>
      <c r="M54" s="17" t="s">
        <v>228</v>
      </c>
    </row>
    <row r="55" spans="2:13" x14ac:dyDescent="0.45">
      <c r="B55" s="70"/>
      <c r="C55" s="71"/>
      <c r="D55" s="4" t="str">
        <f>IF(COUNTA(E55),_xlfn.CONCAT("SW-FW-UnitTest-CFX-ID-",COUNTA(E$34:E55)),"")</f>
        <v>SW-FW-UnitTest-CFX-ID-22</v>
      </c>
      <c r="E55" s="3" t="s">
        <v>37</v>
      </c>
      <c r="F55" s="3" t="s">
        <v>20</v>
      </c>
      <c r="G55" s="3" t="s">
        <v>474</v>
      </c>
      <c r="H55" s="17" t="s">
        <v>13</v>
      </c>
      <c r="I55" s="14" t="s">
        <v>13</v>
      </c>
      <c r="J55" s="14" t="s">
        <v>22</v>
      </c>
      <c r="K55" s="18" t="str">
        <f t="shared" ref="K55:K80" si="1">_xlfn.CONCAT("- ", E55, " 구현")</f>
        <v>- 인터럽트 설정 2차 구현</v>
      </c>
      <c r="L55" s="13" t="s">
        <v>273</v>
      </c>
      <c r="M55" s="17" t="s">
        <v>228</v>
      </c>
    </row>
    <row r="56" spans="2:13" x14ac:dyDescent="0.45">
      <c r="B56" s="70"/>
      <c r="C56" s="71"/>
      <c r="D56" s="4" t="str">
        <f>IF(COUNTA(E56),_xlfn.CONCAT("SW-FW-UnitTest-CFX-ID-",COUNTA(E$34:E56)),"")</f>
        <v>SW-FW-UnitTest-CFX-ID-23</v>
      </c>
      <c r="E56" s="3" t="s">
        <v>46</v>
      </c>
      <c r="F56" s="3" t="s">
        <v>20</v>
      </c>
      <c r="G56" s="3" t="s">
        <v>475</v>
      </c>
      <c r="H56" s="17" t="s">
        <v>13</v>
      </c>
      <c r="I56" s="14" t="s">
        <v>13</v>
      </c>
      <c r="J56" s="14" t="s">
        <v>22</v>
      </c>
      <c r="K56" s="18" t="str">
        <f t="shared" si="1"/>
        <v>- 인터럽트 서비스 루틴 구현</v>
      </c>
      <c r="L56" s="13" t="s">
        <v>274</v>
      </c>
      <c r="M56" s="17" t="s">
        <v>228</v>
      </c>
    </row>
    <row r="57" spans="2:13" ht="119" x14ac:dyDescent="0.45">
      <c r="B57" s="70"/>
      <c r="C57" s="71"/>
      <c r="D57" s="4" t="str">
        <f>IF(COUNTA(E57),_xlfn.CONCAT("SW-FW-UnitTest-CFX-ID-",COUNTA(E$34:E57)),"")</f>
        <v>SW-FW-UnitTest-CFX-ID-24</v>
      </c>
      <c r="E57" s="3" t="s">
        <v>232</v>
      </c>
      <c r="F57" s="3" t="s">
        <v>20</v>
      </c>
      <c r="G57" s="3" t="s">
        <v>476</v>
      </c>
      <c r="H57" s="17" t="s">
        <v>13</v>
      </c>
      <c r="I57" s="14" t="s">
        <v>13</v>
      </c>
      <c r="J57" s="14" t="s">
        <v>22</v>
      </c>
      <c r="K57" s="18" t="str">
        <f t="shared" si="1"/>
        <v>- 저전력 모드 전환,  입/출력단 비활성화 구현</v>
      </c>
      <c r="L57" s="13" t="s">
        <v>275</v>
      </c>
      <c r="M57" s="17" t="s">
        <v>228</v>
      </c>
    </row>
    <row r="58" spans="2:13" x14ac:dyDescent="0.45">
      <c r="B58" s="70"/>
      <c r="C58" s="71"/>
      <c r="D58" s="4" t="str">
        <f>IF(COUNTA(E58),_xlfn.CONCAT("SW-FW-UnitTest-CFX-ID-",COUNTA(E$34:E58)),"")</f>
        <v>SW-FW-UnitTest-CFX-ID-25</v>
      </c>
      <c r="E58" s="3" t="s">
        <v>231</v>
      </c>
      <c r="F58" s="3" t="s">
        <v>20</v>
      </c>
      <c r="G58" s="3" t="s">
        <v>477</v>
      </c>
      <c r="H58" s="17" t="s">
        <v>13</v>
      </c>
      <c r="I58" s="14" t="s">
        <v>13</v>
      </c>
      <c r="J58" s="14" t="s">
        <v>22</v>
      </c>
      <c r="K58" s="18" t="str">
        <f t="shared" si="1"/>
        <v>- 저전력 모드 전환, IOC 비활성화 구현</v>
      </c>
      <c r="L58" s="13" t="s">
        <v>276</v>
      </c>
      <c r="M58" s="17" t="s">
        <v>228</v>
      </c>
    </row>
    <row r="59" spans="2:13" x14ac:dyDescent="0.45">
      <c r="B59" s="70"/>
      <c r="C59" s="71"/>
      <c r="D59" s="4" t="str">
        <f>IF(COUNTA(E59),_xlfn.CONCAT("SW-FW-UnitTest-CFX-ID-",COUNTA(E$34:E59)),"")</f>
        <v>SW-FW-UnitTest-CFX-ID-26</v>
      </c>
      <c r="E59" s="3" t="s">
        <v>233</v>
      </c>
      <c r="F59" s="3" t="s">
        <v>20</v>
      </c>
      <c r="G59" s="3" t="s">
        <v>478</v>
      </c>
      <c r="H59" s="17" t="s">
        <v>13</v>
      </c>
      <c r="I59" s="14" t="s">
        <v>13</v>
      </c>
      <c r="J59" s="14" t="s">
        <v>22</v>
      </c>
      <c r="K59" s="18" t="str">
        <f t="shared" si="1"/>
        <v>- 저전력 모드 전환, FIFO 비활성화 구현</v>
      </c>
      <c r="L59" s="13" t="s">
        <v>277</v>
      </c>
      <c r="M59" s="17" t="s">
        <v>228</v>
      </c>
    </row>
    <row r="60" spans="2:13" ht="51" x14ac:dyDescent="0.45">
      <c r="B60" s="70"/>
      <c r="C60" s="71"/>
      <c r="D60" s="4" t="str">
        <f>IF(COUNTA(E60),_xlfn.CONCAT("SW-FW-UnitTest-CFX-ID-",COUNTA(E$34:E60)),"")</f>
        <v>SW-FW-UnitTest-CFX-ID-27</v>
      </c>
      <c r="E60" s="3" t="s">
        <v>234</v>
      </c>
      <c r="F60" s="3" t="s">
        <v>20</v>
      </c>
      <c r="G60" s="3" t="s">
        <v>479</v>
      </c>
      <c r="H60" s="17" t="s">
        <v>13</v>
      </c>
      <c r="I60" s="14" t="s">
        <v>13</v>
      </c>
      <c r="J60" s="14" t="s">
        <v>22</v>
      </c>
      <c r="K60" s="18" t="str">
        <f t="shared" si="1"/>
        <v>- 저전력 모드 전환, FIFO 버퍼 초기화 구현</v>
      </c>
      <c r="L60" s="13" t="s">
        <v>261</v>
      </c>
      <c r="M60" s="17" t="s">
        <v>228</v>
      </c>
    </row>
    <row r="61" spans="2:13" ht="85" x14ac:dyDescent="0.45">
      <c r="B61" s="70"/>
      <c r="C61" s="71"/>
      <c r="D61" s="4" t="str">
        <f>IF(COUNTA(E61),_xlfn.CONCAT("SW-FW-UnitTest-CFX-ID-",COUNTA(E$34:E61)),"")</f>
        <v>SW-FW-UnitTest-CFX-ID-28</v>
      </c>
      <c r="E61" s="3" t="s">
        <v>235</v>
      </c>
      <c r="F61" s="3" t="s">
        <v>20</v>
      </c>
      <c r="G61" s="3" t="s">
        <v>480</v>
      </c>
      <c r="H61" s="17" t="s">
        <v>13</v>
      </c>
      <c r="I61" s="14" t="s">
        <v>13</v>
      </c>
      <c r="J61" s="14" t="s">
        <v>22</v>
      </c>
      <c r="K61" s="18" t="str">
        <f t="shared" si="1"/>
        <v>- 저전력 모드 전환,  모드 DIO 설정 구현</v>
      </c>
      <c r="L61" s="13" t="s">
        <v>278</v>
      </c>
      <c r="M61" s="17" t="s">
        <v>228</v>
      </c>
    </row>
    <row r="62" spans="2:13" x14ac:dyDescent="0.45">
      <c r="B62" s="70"/>
      <c r="C62" s="71"/>
      <c r="D62" s="4" t="str">
        <f>IF(COUNTA(E62),_xlfn.CONCAT("SW-FW-UnitTest-CFX-ID-",COUNTA(E$34:E62)),"")</f>
        <v>SW-FW-UnitTest-CFX-ID-29</v>
      </c>
      <c r="E62" s="3" t="s">
        <v>238</v>
      </c>
      <c r="F62" s="3" t="s">
        <v>20</v>
      </c>
      <c r="G62" s="3" t="s">
        <v>481</v>
      </c>
      <c r="H62" s="17" t="s">
        <v>13</v>
      </c>
      <c r="I62" s="14" t="s">
        <v>13</v>
      </c>
      <c r="J62" s="14" t="s">
        <v>22</v>
      </c>
      <c r="K62" s="18" t="str">
        <f t="shared" si="1"/>
        <v>- 저전력 모드 전환, 인터럽트 설정 구현</v>
      </c>
      <c r="L62" s="13" t="s">
        <v>230</v>
      </c>
      <c r="M62" s="17" t="s">
        <v>228</v>
      </c>
    </row>
    <row r="63" spans="2:13" x14ac:dyDescent="0.45">
      <c r="B63" s="70"/>
      <c r="C63" s="71"/>
      <c r="D63" s="4" t="str">
        <f>IF(COUNTA(E63),_xlfn.CONCAT("SW-FW-UnitTest-CFX-ID-",COUNTA(E$34:E63)),"")</f>
        <v>SW-FW-UnitTest-CFX-ID-30</v>
      </c>
      <c r="E63" s="3" t="s">
        <v>47</v>
      </c>
      <c r="F63" s="3" t="s">
        <v>20</v>
      </c>
      <c r="G63" s="3" t="s">
        <v>482</v>
      </c>
      <c r="H63" s="17" t="s">
        <v>13</v>
      </c>
      <c r="I63" s="14" t="s">
        <v>13</v>
      </c>
      <c r="J63" s="14" t="s">
        <v>22</v>
      </c>
      <c r="K63" s="18" t="str">
        <f t="shared" si="1"/>
        <v>- 저전력 모드전환 구현</v>
      </c>
      <c r="L63" s="13" t="s">
        <v>279</v>
      </c>
      <c r="M63" s="17" t="s">
        <v>228</v>
      </c>
    </row>
    <row r="64" spans="2:13" x14ac:dyDescent="0.45">
      <c r="B64" s="70"/>
      <c r="C64" s="71"/>
      <c r="D64" s="4" t="str">
        <f>IF(COUNTA(E64),_xlfn.CONCAT("SW-FW-UnitTest-CFX-ID-",COUNTA(E$34:E64)),"")</f>
        <v>SW-FW-UnitTest-CFX-ID-31</v>
      </c>
      <c r="E64" s="3" t="s">
        <v>236</v>
      </c>
      <c r="F64" s="3" t="s">
        <v>20</v>
      </c>
      <c r="G64" s="3" t="s">
        <v>483</v>
      </c>
      <c r="H64" s="17" t="s">
        <v>13</v>
      </c>
      <c r="I64" s="14" t="s">
        <v>13</v>
      </c>
      <c r="J64" s="14" t="s">
        <v>22</v>
      </c>
      <c r="K64" s="18" t="str">
        <f t="shared" si="1"/>
        <v>- 저전력 모드 전환, 클럭 조정 구현</v>
      </c>
      <c r="L64" s="13" t="s">
        <v>280</v>
      </c>
      <c r="M64" s="17" t="s">
        <v>228</v>
      </c>
    </row>
    <row r="65" spans="2:13" x14ac:dyDescent="0.45">
      <c r="B65" s="70"/>
      <c r="C65" s="71"/>
      <c r="D65" s="4" t="str">
        <f>IF(COUNTA(E65),_xlfn.CONCAT("SW-FW-UnitTest-CFX-ID-",COUNTA(E$34:E65)),"")</f>
        <v>SW-FW-UnitTest-CFX-ID-32</v>
      </c>
      <c r="E65" s="3" t="s">
        <v>237</v>
      </c>
      <c r="F65" s="3" t="s">
        <v>20</v>
      </c>
      <c r="G65" s="3" t="s">
        <v>484</v>
      </c>
      <c r="H65" s="17" t="s">
        <v>13</v>
      </c>
      <c r="I65" s="14" t="s">
        <v>13</v>
      </c>
      <c r="J65" s="14" t="s">
        <v>22</v>
      </c>
      <c r="K65" s="18" t="str">
        <f t="shared" si="1"/>
        <v>- 저전력 모드 전환,  타이머 설정 구현</v>
      </c>
      <c r="L65" s="13" t="s">
        <v>281</v>
      </c>
      <c r="M65" s="17" t="s">
        <v>228</v>
      </c>
    </row>
    <row r="66" spans="2:13" ht="34" x14ac:dyDescent="0.45">
      <c r="B66" s="70"/>
      <c r="C66" s="71"/>
      <c r="D66" s="4" t="str">
        <f>IF(COUNTA(E66),_xlfn.CONCAT("SW-FW-UnitTest-CFX-ID-",COUNTA(E$34:E66)),"")</f>
        <v>SW-FW-UnitTest-CFX-ID-33</v>
      </c>
      <c r="E66" s="5" t="s">
        <v>48</v>
      </c>
      <c r="F66" s="3" t="s">
        <v>20</v>
      </c>
      <c r="G66" s="3" t="s">
        <v>485</v>
      </c>
      <c r="H66" s="17" t="s">
        <v>13</v>
      </c>
      <c r="I66" s="14" t="s">
        <v>13</v>
      </c>
      <c r="J66" s="14" t="s">
        <v>22</v>
      </c>
      <c r="K66" s="20" t="str">
        <f>_xlfn.CONCAT("- ", E66, " 구현")</f>
        <v>- windowing 계수 읽기 구현</v>
      </c>
      <c r="L66" s="13" t="s">
        <v>282</v>
      </c>
      <c r="M66" s="17" t="s">
        <v>228</v>
      </c>
    </row>
    <row r="67" spans="2:13" ht="51" x14ac:dyDescent="0.45">
      <c r="B67" s="70"/>
      <c r="C67" s="71"/>
      <c r="D67" s="4" t="str">
        <f>IF(COUNTA(E67),_xlfn.CONCAT("SW-FW-UnitTest-CFX-ID-",COUNTA(E$34:E67)),"")</f>
        <v>SW-FW-UnitTest-CFX-ID-34</v>
      </c>
      <c r="E67" s="3" t="s">
        <v>49</v>
      </c>
      <c r="F67" s="3" t="s">
        <v>20</v>
      </c>
      <c r="G67" s="3" t="s">
        <v>486</v>
      </c>
      <c r="H67" s="17" t="s">
        <v>13</v>
      </c>
      <c r="I67" s="14" t="s">
        <v>13</v>
      </c>
      <c r="J67" s="14" t="s">
        <v>22</v>
      </c>
      <c r="K67" s="18" t="str">
        <f t="shared" si="1"/>
        <v>- 내부기 정보 읽기  구현</v>
      </c>
      <c r="L67" s="13" t="s">
        <v>283</v>
      </c>
      <c r="M67" s="17" t="s">
        <v>228</v>
      </c>
    </row>
    <row r="68" spans="2:13" ht="51" x14ac:dyDescent="0.45">
      <c r="B68" s="70"/>
      <c r="C68" s="71"/>
      <c r="D68" s="4" t="str">
        <f>IF(COUNTA(E68),_xlfn.CONCAT("SW-FW-UnitTest-CFX-ID-",COUNTA(E$34:E68)),"")</f>
        <v>SW-FW-UnitTest-CFX-ID-35</v>
      </c>
      <c r="E68" s="3" t="s">
        <v>50</v>
      </c>
      <c r="F68" s="3" t="s">
        <v>20</v>
      </c>
      <c r="G68" s="3" t="s">
        <v>487</v>
      </c>
      <c r="H68" s="17" t="s">
        <v>13</v>
      </c>
      <c r="I68" s="14" t="s">
        <v>13</v>
      </c>
      <c r="J68" s="14" t="s">
        <v>22</v>
      </c>
      <c r="K68" s="18" t="str">
        <f t="shared" si="1"/>
        <v>- 배터리 전압 교정값 읽기 구현</v>
      </c>
      <c r="L68" s="13" t="s">
        <v>284</v>
      </c>
      <c r="M68" s="17" t="s">
        <v>228</v>
      </c>
    </row>
    <row r="69" spans="2:13" ht="68" x14ac:dyDescent="0.45">
      <c r="B69" s="70"/>
      <c r="C69" s="71"/>
      <c r="D69" s="4" t="str">
        <f>IF(COUNTA(E69),_xlfn.CONCAT("SW-FW-UnitTest-CFX-ID-",COUNTA(E$34:E69)),"")</f>
        <v>SW-FW-UnitTest-CFX-ID-36</v>
      </c>
      <c r="E69" s="3" t="s">
        <v>51</v>
      </c>
      <c r="F69" s="3" t="s">
        <v>20</v>
      </c>
      <c r="G69" s="3" t="s">
        <v>488</v>
      </c>
      <c r="H69" s="17" t="s">
        <v>13</v>
      </c>
      <c r="I69" s="14" t="s">
        <v>13</v>
      </c>
      <c r="J69" s="14" t="s">
        <v>22</v>
      </c>
      <c r="K69" s="18" t="str">
        <f t="shared" si="1"/>
        <v>- 맵 정보 읽기 구현</v>
      </c>
      <c r="L69" s="13" t="s">
        <v>285</v>
      </c>
      <c r="M69" s="17" t="s">
        <v>228</v>
      </c>
    </row>
    <row r="70" spans="2:13" ht="51" x14ac:dyDescent="0.45">
      <c r="B70" s="70"/>
      <c r="C70" s="71"/>
      <c r="D70" s="4" t="str">
        <f>IF(COUNTA(E70),_xlfn.CONCAT("SW-FW-UnitTest-CFX-ID-",COUNTA(E$34:E70)),"")</f>
        <v>SW-FW-UnitTest-CFX-ID-37</v>
      </c>
      <c r="E70" s="3" t="s">
        <v>52</v>
      </c>
      <c r="F70" s="3" t="s">
        <v>20</v>
      </c>
      <c r="G70" s="3" t="s">
        <v>489</v>
      </c>
      <c r="H70" s="17" t="s">
        <v>13</v>
      </c>
      <c r="I70" s="14" t="s">
        <v>13</v>
      </c>
      <c r="J70" s="14" t="s">
        <v>22</v>
      </c>
      <c r="K70" s="18" t="str">
        <f t="shared" si="1"/>
        <v>- 사용자 설정값 읽기 구현</v>
      </c>
      <c r="L70" s="13" t="s">
        <v>286</v>
      </c>
      <c r="M70" s="17" t="s">
        <v>228</v>
      </c>
    </row>
    <row r="71" spans="2:13" ht="51" x14ac:dyDescent="0.45">
      <c r="B71" s="70"/>
      <c r="C71" s="71"/>
      <c r="D71" s="4" t="str">
        <f>IF(COUNTA(E71),_xlfn.CONCAT("SW-FW-UnitTest-CFX-ID-",COUNTA(E$34:E71)),"")</f>
        <v>SW-FW-UnitTest-CFX-ID-38</v>
      </c>
      <c r="E71" s="3" t="s">
        <v>53</v>
      </c>
      <c r="F71" s="3" t="s">
        <v>20</v>
      </c>
      <c r="G71" s="3" t="s">
        <v>490</v>
      </c>
      <c r="H71" s="17" t="s">
        <v>13</v>
      </c>
      <c r="I71" s="14" t="s">
        <v>13</v>
      </c>
      <c r="J71" s="14" t="s">
        <v>22</v>
      </c>
      <c r="K71" s="18" t="str">
        <f t="shared" si="1"/>
        <v>- 매핑 데이터 읽기 구현</v>
      </c>
      <c r="L71" s="13" t="s">
        <v>287</v>
      </c>
      <c r="M71" s="17" t="s">
        <v>228</v>
      </c>
    </row>
    <row r="72" spans="2:13" ht="34" x14ac:dyDescent="0.45">
      <c r="B72" s="70"/>
      <c r="C72" s="71"/>
      <c r="D72" s="4" t="str">
        <f>IF(COUNTA(E72),_xlfn.CONCAT("SW-FW-UnitTest-CFX-ID-",COUNTA(E$34:E72)),"")</f>
        <v>SW-FW-UnitTest-CFX-ID-39</v>
      </c>
      <c r="E72" s="3" t="s">
        <v>54</v>
      </c>
      <c r="F72" s="3" t="s">
        <v>20</v>
      </c>
      <c r="G72" s="3" t="s">
        <v>491</v>
      </c>
      <c r="H72" s="17" t="s">
        <v>13</v>
      </c>
      <c r="I72" s="14" t="s">
        <v>13</v>
      </c>
      <c r="J72" s="14" t="s">
        <v>22</v>
      </c>
      <c r="K72" s="18" t="str">
        <f t="shared" si="1"/>
        <v>- 통과 대역 밴드 읽기 구현</v>
      </c>
      <c r="L72" s="13" t="s">
        <v>288</v>
      </c>
      <c r="M72" s="17" t="s">
        <v>228</v>
      </c>
    </row>
    <row r="73" spans="2:13" ht="34" x14ac:dyDescent="0.45">
      <c r="B73" s="70"/>
      <c r="C73" s="71"/>
      <c r="D73" s="4" t="str">
        <f>IF(COUNTA(E73),_xlfn.CONCAT("SW-FW-UnitTest-CFX-ID-",COUNTA(E$34:E73)),"")</f>
        <v>SW-FW-UnitTest-CFX-ID-40</v>
      </c>
      <c r="E73" s="3" t="s">
        <v>55</v>
      </c>
      <c r="F73" s="3" t="s">
        <v>20</v>
      </c>
      <c r="G73" s="3" t="s">
        <v>492</v>
      </c>
      <c r="H73" s="17" t="s">
        <v>13</v>
      </c>
      <c r="I73" s="14" t="s">
        <v>13</v>
      </c>
      <c r="J73" s="14" t="s">
        <v>22</v>
      </c>
      <c r="K73" s="18" t="str">
        <f t="shared" si="1"/>
        <v>- 사용자 설정값 저장 구현</v>
      </c>
      <c r="L73" s="13" t="s">
        <v>289</v>
      </c>
      <c r="M73" s="17" t="s">
        <v>228</v>
      </c>
    </row>
    <row r="74" spans="2:13" ht="34" x14ac:dyDescent="0.45">
      <c r="B74" s="70"/>
      <c r="C74" s="71"/>
      <c r="D74" s="4" t="str">
        <f>IF(COUNTA(E74),_xlfn.CONCAT("SW-FW-UnitTest-CFX-ID-",COUNTA(E$34:E74)),"")</f>
        <v>SW-FW-UnitTest-CFX-ID-41</v>
      </c>
      <c r="E74" s="3" t="s">
        <v>63</v>
      </c>
      <c r="F74" s="3" t="s">
        <v>20</v>
      </c>
      <c r="G74" s="3" t="s">
        <v>493</v>
      </c>
      <c r="H74" s="17" t="s">
        <v>13</v>
      </c>
      <c r="I74" s="14" t="s">
        <v>13</v>
      </c>
      <c r="J74" s="14" t="s">
        <v>22</v>
      </c>
      <c r="K74" s="18" t="str">
        <f t="shared" si="1"/>
        <v>- 매핑 데이터 저장, 매핑 통신 구현</v>
      </c>
      <c r="L74" s="13" t="s">
        <v>290</v>
      </c>
      <c r="M74" s="17" t="s">
        <v>228</v>
      </c>
    </row>
    <row r="75" spans="2:13" ht="51" x14ac:dyDescent="0.45">
      <c r="B75" s="70"/>
      <c r="C75" s="71"/>
      <c r="D75" s="4" t="str">
        <f>IF(COUNTA(E75),_xlfn.CONCAT("SW-FW-UnitTest-CFX-ID-",COUNTA(E$34:E75)),"")</f>
        <v>SW-FW-UnitTest-CFX-ID-42</v>
      </c>
      <c r="E75" s="3" t="s">
        <v>57</v>
      </c>
      <c r="F75" s="3" t="s">
        <v>20</v>
      </c>
      <c r="G75" s="3" t="s">
        <v>494</v>
      </c>
      <c r="H75" s="17" t="s">
        <v>13</v>
      </c>
      <c r="I75" s="14" t="s">
        <v>13</v>
      </c>
      <c r="J75" s="14" t="s">
        <v>22</v>
      </c>
      <c r="K75" s="18" t="str">
        <f t="shared" si="1"/>
        <v>- 매핑 데이터 읽기, 매핑 통신 구현</v>
      </c>
      <c r="L75" s="13" t="s">
        <v>291</v>
      </c>
      <c r="M75" s="17" t="s">
        <v>228</v>
      </c>
    </row>
    <row r="76" spans="2:13" ht="51" x14ac:dyDescent="0.45">
      <c r="B76" s="70"/>
      <c r="C76" s="71"/>
      <c r="D76" s="4" t="str">
        <f>IF(COUNTA(E76),_xlfn.CONCAT("SW-FW-UnitTest-CFX-ID-",COUNTA(E$34:E76)),"")</f>
        <v>SW-FW-UnitTest-CFX-ID-43</v>
      </c>
      <c r="E76" s="3" t="s">
        <v>56</v>
      </c>
      <c r="F76" s="3" t="s">
        <v>20</v>
      </c>
      <c r="G76" s="3" t="s">
        <v>495</v>
      </c>
      <c r="H76" s="17" t="s">
        <v>13</v>
      </c>
      <c r="I76" s="14" t="s">
        <v>13</v>
      </c>
      <c r="J76" s="14" t="s">
        <v>22</v>
      </c>
      <c r="K76" s="18" t="str">
        <f t="shared" si="1"/>
        <v>- 매핑 데이터 삭제, 매핑 통신 구현</v>
      </c>
      <c r="L76" s="13" t="s">
        <v>292</v>
      </c>
      <c r="M76" s="17" t="s">
        <v>228</v>
      </c>
    </row>
    <row r="77" spans="2:13" x14ac:dyDescent="0.45">
      <c r="B77" s="70"/>
      <c r="C77" s="71"/>
      <c r="D77" s="4" t="str">
        <f>IF(COUNTA(E77),_xlfn.CONCAT("SW-FW-UnitTest-CFX-ID-",COUNTA(E$34:E77)),"")</f>
        <v>SW-FW-UnitTest-CFX-ID-44</v>
      </c>
      <c r="E77" s="3" t="s">
        <v>58</v>
      </c>
      <c r="F77" s="3" t="s">
        <v>18</v>
      </c>
      <c r="G77" s="3" t="s">
        <v>496</v>
      </c>
      <c r="H77" s="17" t="s">
        <v>13</v>
      </c>
      <c r="I77" s="14" t="s">
        <v>13</v>
      </c>
      <c r="J77" s="14" t="s">
        <v>22</v>
      </c>
      <c r="K77" s="18" t="str">
        <f t="shared" si="1"/>
        <v>- 배터리 잔량 업데이트 구현</v>
      </c>
      <c r="L77" s="13" t="s">
        <v>293</v>
      </c>
      <c r="M77" s="17" t="s">
        <v>228</v>
      </c>
    </row>
    <row r="78" spans="2:13" ht="34" x14ac:dyDescent="0.45">
      <c r="B78" s="70"/>
      <c r="C78" s="71"/>
      <c r="D78" s="4" t="str">
        <f>IF(COUNTA(E78),_xlfn.CONCAT("SW-FW-UnitTest-CFX-ID-",COUNTA(E$34:E78)),"")</f>
        <v>SW-FW-UnitTest-CFX-ID-45</v>
      </c>
      <c r="E78" s="3" t="s">
        <v>59</v>
      </c>
      <c r="F78" s="3" t="s">
        <v>20</v>
      </c>
      <c r="G78" s="3" t="s">
        <v>497</v>
      </c>
      <c r="H78" s="17" t="s">
        <v>13</v>
      </c>
      <c r="I78" s="14" t="s">
        <v>13</v>
      </c>
      <c r="J78" s="14" t="s">
        <v>22</v>
      </c>
      <c r="K78" s="18" t="str">
        <f t="shared" si="1"/>
        <v>- 가속도 센서 입력 업데이트 구현</v>
      </c>
      <c r="L78" s="13" t="s">
        <v>294</v>
      </c>
      <c r="M78" s="17" t="s">
        <v>228</v>
      </c>
    </row>
    <row r="79" spans="2:13" ht="68" x14ac:dyDescent="0.45">
      <c r="B79" s="70"/>
      <c r="C79" s="71"/>
      <c r="D79" s="4" t="str">
        <f>IF(COUNTA(E79),_xlfn.CONCAT("SW-FW-UnitTest-CFX-ID-",COUNTA(E$34:E79)),"")</f>
        <v>SW-FW-UnitTest-CFX-ID-46</v>
      </c>
      <c r="E79" s="3" t="s">
        <v>60</v>
      </c>
      <c r="F79" s="3" t="s">
        <v>20</v>
      </c>
      <c r="G79" s="3" t="s">
        <v>498</v>
      </c>
      <c r="H79" s="17" t="s">
        <v>13</v>
      </c>
      <c r="I79" s="14" t="s">
        <v>13</v>
      </c>
      <c r="J79" s="14" t="s">
        <v>22</v>
      </c>
      <c r="K79" s="18" t="str">
        <f t="shared" si="1"/>
        <v>- USB 커넥터용 DIO 설정 구현</v>
      </c>
      <c r="L79" s="13" t="s">
        <v>295</v>
      </c>
      <c r="M79" s="17" t="s">
        <v>228</v>
      </c>
    </row>
    <row r="80" spans="2:13" ht="85" x14ac:dyDescent="0.45">
      <c r="B80" s="70"/>
      <c r="C80" s="71"/>
      <c r="D80" s="4" t="str">
        <f>IF(COUNTA(E80),_xlfn.CONCAT("SW-FW-UnitTest-CFX-ID-",COUNTA(E$34:E80)),"")</f>
        <v>SW-FW-UnitTest-CFX-ID-47</v>
      </c>
      <c r="E80" s="3" t="s">
        <v>61</v>
      </c>
      <c r="F80" s="3" t="s">
        <v>20</v>
      </c>
      <c r="G80" s="3" t="s">
        <v>499</v>
      </c>
      <c r="H80" s="17" t="s">
        <v>13</v>
      </c>
      <c r="I80" s="14" t="s">
        <v>13</v>
      </c>
      <c r="J80" s="14" t="s">
        <v>22</v>
      </c>
      <c r="K80" s="18" t="str">
        <f t="shared" si="1"/>
        <v>- 가속도 센서 및 PCM용 DIO 설정 구현</v>
      </c>
      <c r="L80" s="13" t="s">
        <v>296</v>
      </c>
      <c r="M80" s="17" t="s">
        <v>228</v>
      </c>
    </row>
    <row r="81" spans="2:13" ht="68" x14ac:dyDescent="0.45">
      <c r="B81" s="70"/>
      <c r="C81" s="71" t="s">
        <v>101</v>
      </c>
      <c r="D81" s="4" t="str">
        <f>IF(COUNTA(E81),_xlfn.CONCAT("SW-FW-UnitTest-CFX-ID-",COUNTA(E$34:E81)),"")</f>
        <v>SW-FW-UnitTest-CFX-ID-48</v>
      </c>
      <c r="E81" s="3" t="s">
        <v>65</v>
      </c>
      <c r="F81" s="3" t="s">
        <v>19</v>
      </c>
      <c r="G81" s="3" t="s">
        <v>500</v>
      </c>
      <c r="H81" s="17" t="s">
        <v>13</v>
      </c>
      <c r="I81" s="9" t="s">
        <v>239</v>
      </c>
      <c r="J81" s="14" t="s">
        <v>72</v>
      </c>
      <c r="K81" s="9" t="s">
        <v>71</v>
      </c>
      <c r="L81" s="13" t="s">
        <v>240</v>
      </c>
      <c r="M81" s="17" t="s">
        <v>228</v>
      </c>
    </row>
    <row r="82" spans="2:13" ht="136" x14ac:dyDescent="0.45">
      <c r="B82" s="70"/>
      <c r="C82" s="70"/>
      <c r="D82" s="4" t="str">
        <f>IF(COUNTA(E82),_xlfn.CONCAT("SW-FW-UnitTest-CFX-ID-",COUNTA(E$34:E82)),"")</f>
        <v>SW-FW-UnitTest-CFX-ID-49</v>
      </c>
      <c r="E82" s="3" t="s">
        <v>66</v>
      </c>
      <c r="F82" s="3" t="s">
        <v>19</v>
      </c>
      <c r="G82" s="3" t="s">
        <v>501</v>
      </c>
      <c r="H82" s="17" t="s">
        <v>13</v>
      </c>
      <c r="I82" s="9" t="s">
        <v>94</v>
      </c>
      <c r="J82" s="13" t="s">
        <v>69</v>
      </c>
      <c r="K82" s="9" t="s">
        <v>67</v>
      </c>
      <c r="L82" s="13" t="s">
        <v>241</v>
      </c>
      <c r="M82" s="17" t="s">
        <v>228</v>
      </c>
    </row>
    <row r="83" spans="2:13" ht="204" x14ac:dyDescent="0.45">
      <c r="B83" s="70"/>
      <c r="C83" s="70"/>
      <c r="D83" s="4" t="str">
        <f>IF(COUNTA(E83),_xlfn.CONCAT("SW-FW-UnitTest-CFX-ID-",COUNTA(E$34:E83)),"")</f>
        <v>SW-FW-UnitTest-CFX-ID-50</v>
      </c>
      <c r="E83" s="3" t="s">
        <v>68</v>
      </c>
      <c r="F83" s="3" t="s">
        <v>19</v>
      </c>
      <c r="G83" s="3" t="s">
        <v>502</v>
      </c>
      <c r="H83" s="17" t="s">
        <v>13</v>
      </c>
      <c r="I83" s="9" t="s">
        <v>94</v>
      </c>
      <c r="J83" s="13" t="s">
        <v>226</v>
      </c>
      <c r="K83" s="9" t="s">
        <v>70</v>
      </c>
      <c r="L83" s="13" t="s">
        <v>242</v>
      </c>
      <c r="M83" s="17" t="s">
        <v>228</v>
      </c>
    </row>
    <row r="84" spans="2:13" ht="51" x14ac:dyDescent="0.45">
      <c r="B84" s="70"/>
      <c r="C84" s="70"/>
      <c r="D84" s="4" t="str">
        <f>IF(COUNTA(E84),_xlfn.CONCAT("SW-FW-UnitTest-CFX-ID-",COUNTA(E$34:E84)),"")</f>
        <v>SW-FW-UnitTest-CFX-ID-51</v>
      </c>
      <c r="E84" s="3" t="s">
        <v>73</v>
      </c>
      <c r="F84" s="3" t="s">
        <v>19</v>
      </c>
      <c r="G84" s="3" t="s">
        <v>503</v>
      </c>
      <c r="H84" s="17" t="s">
        <v>13</v>
      </c>
      <c r="I84" s="9" t="s">
        <v>93</v>
      </c>
      <c r="J84" s="14" t="s">
        <v>173</v>
      </c>
      <c r="K84" s="9" t="s">
        <v>74</v>
      </c>
      <c r="L84" s="13" t="s">
        <v>297</v>
      </c>
      <c r="M84" s="17" t="s">
        <v>228</v>
      </c>
    </row>
    <row r="85" spans="2:13" ht="51" x14ac:dyDescent="0.45">
      <c r="B85" s="70"/>
      <c r="C85" s="70"/>
      <c r="D85" s="4" t="str">
        <f>IF(COUNTA(E85),_xlfn.CONCAT("SW-FW-UnitTest-CFX-ID-",COUNTA(E$34:E85)),"")</f>
        <v>SW-FW-UnitTest-CFX-ID-52</v>
      </c>
      <c r="E85" s="3" t="s">
        <v>75</v>
      </c>
      <c r="F85" s="3" t="s">
        <v>19</v>
      </c>
      <c r="G85" s="3" t="s">
        <v>504</v>
      </c>
      <c r="H85" s="17" t="s">
        <v>13</v>
      </c>
      <c r="I85" s="9" t="s">
        <v>93</v>
      </c>
      <c r="J85" s="14" t="s">
        <v>174</v>
      </c>
      <c r="K85" s="9" t="s">
        <v>80</v>
      </c>
      <c r="L85" s="13" t="s">
        <v>243</v>
      </c>
      <c r="M85" s="17" t="s">
        <v>228</v>
      </c>
    </row>
    <row r="86" spans="2:13" ht="51" x14ac:dyDescent="0.45">
      <c r="B86" s="70"/>
      <c r="C86" s="70"/>
      <c r="D86" s="4" t="str">
        <f>IF(COUNTA(E86),_xlfn.CONCAT("SW-FW-UnitTest-CFX-ID-",COUNTA(E$34:E86)),"")</f>
        <v>SW-FW-UnitTest-CFX-ID-53</v>
      </c>
      <c r="E86" s="3" t="s">
        <v>76</v>
      </c>
      <c r="F86" s="3" t="s">
        <v>19</v>
      </c>
      <c r="G86" s="3" t="s">
        <v>505</v>
      </c>
      <c r="H86" s="17" t="s">
        <v>13</v>
      </c>
      <c r="I86" s="9" t="s">
        <v>93</v>
      </c>
      <c r="J86" s="14" t="s">
        <v>174</v>
      </c>
      <c r="K86" s="9" t="s">
        <v>77</v>
      </c>
      <c r="L86" s="13" t="s">
        <v>244</v>
      </c>
      <c r="M86" s="17" t="s">
        <v>228</v>
      </c>
    </row>
    <row r="87" spans="2:13" ht="119" x14ac:dyDescent="0.45">
      <c r="B87" s="70"/>
      <c r="C87" s="70"/>
      <c r="D87" s="4" t="str">
        <f>IF(COUNTA(E87),_xlfn.CONCAT("SW-FW-UnitTest-CFX-ID-",COUNTA(E$34:E87)),"")</f>
        <v>SW-FW-UnitTest-CFX-ID-54</v>
      </c>
      <c r="E87" s="3" t="s">
        <v>78</v>
      </c>
      <c r="F87" s="3" t="s">
        <v>19</v>
      </c>
      <c r="G87" s="3" t="s">
        <v>506</v>
      </c>
      <c r="H87" s="17" t="s">
        <v>13</v>
      </c>
      <c r="I87" s="9" t="s">
        <v>93</v>
      </c>
      <c r="J87" s="14" t="s">
        <v>174</v>
      </c>
      <c r="K87" s="9" t="s">
        <v>79</v>
      </c>
      <c r="L87" s="13" t="s">
        <v>245</v>
      </c>
      <c r="M87" s="17" t="s">
        <v>228</v>
      </c>
    </row>
    <row r="88" spans="2:13" ht="51" x14ac:dyDescent="0.45">
      <c r="B88" s="70"/>
      <c r="C88" s="70"/>
      <c r="D88" s="4" t="str">
        <f>IF(COUNTA(E88),_xlfn.CONCAT("SW-FW-UnitTest-CFX-ID-",COUNTA(E$34:E88)),"")</f>
        <v>SW-FW-UnitTest-CFX-ID-55</v>
      </c>
      <c r="E88" s="3" t="s">
        <v>89</v>
      </c>
      <c r="F88" s="3" t="s">
        <v>19</v>
      </c>
      <c r="G88" s="3" t="s">
        <v>507</v>
      </c>
      <c r="H88" s="17" t="s">
        <v>13</v>
      </c>
      <c r="I88" s="9" t="s">
        <v>93</v>
      </c>
      <c r="J88" s="14" t="s">
        <v>174</v>
      </c>
      <c r="K88" s="9" t="s">
        <v>79</v>
      </c>
      <c r="L88" s="13" t="s">
        <v>246</v>
      </c>
      <c r="M88" s="17" t="s">
        <v>228</v>
      </c>
    </row>
    <row r="89" spans="2:13" ht="51" x14ac:dyDescent="0.45">
      <c r="B89" s="70"/>
      <c r="C89" s="70"/>
      <c r="D89" s="4" t="str">
        <f>IF(COUNTA(E89),_xlfn.CONCAT("SW-FW-UnitTest-CFX-ID-",COUNTA(E$34:E89)),"")</f>
        <v>SW-FW-UnitTest-CFX-ID-56</v>
      </c>
      <c r="E89" s="3" t="s">
        <v>81</v>
      </c>
      <c r="F89" s="3" t="s">
        <v>19</v>
      </c>
      <c r="G89" s="3" t="s">
        <v>508</v>
      </c>
      <c r="H89" s="17" t="s">
        <v>13</v>
      </c>
      <c r="I89" s="9" t="s">
        <v>93</v>
      </c>
      <c r="J89" s="14" t="s">
        <v>174</v>
      </c>
      <c r="K89" s="9" t="s">
        <v>82</v>
      </c>
      <c r="L89" s="13" t="s">
        <v>247</v>
      </c>
      <c r="M89" s="17" t="s">
        <v>228</v>
      </c>
    </row>
    <row r="90" spans="2:13" ht="51" x14ac:dyDescent="0.45">
      <c r="B90" s="70"/>
      <c r="C90" s="70"/>
      <c r="D90" s="4" t="str">
        <f>IF(COUNTA(E90),_xlfn.CONCAT("SW-FW-UnitTest-CFX-ID-",COUNTA(E$34:E90)),"")</f>
        <v>SW-FW-UnitTest-CFX-ID-57</v>
      </c>
      <c r="E90" s="3" t="s">
        <v>85</v>
      </c>
      <c r="F90" s="3" t="s">
        <v>19</v>
      </c>
      <c r="G90" s="3" t="s">
        <v>509</v>
      </c>
      <c r="H90" s="17" t="s">
        <v>13</v>
      </c>
      <c r="I90" s="9" t="s">
        <v>93</v>
      </c>
      <c r="J90" s="14" t="s">
        <v>174</v>
      </c>
      <c r="K90" s="9" t="s">
        <v>87</v>
      </c>
      <c r="L90" s="13" t="s">
        <v>248</v>
      </c>
      <c r="M90" s="17" t="s">
        <v>228</v>
      </c>
    </row>
    <row r="91" spans="2:13" ht="51" x14ac:dyDescent="0.45">
      <c r="B91" s="70"/>
      <c r="C91" s="70"/>
      <c r="D91" s="4" t="str">
        <f>IF(COUNTA(E91),_xlfn.CONCAT("SW-FW-UnitTest-CFX-ID-",COUNTA(E$34:E91)),"")</f>
        <v>SW-FW-UnitTest-CFX-ID-58</v>
      </c>
      <c r="E91" s="3" t="s">
        <v>86</v>
      </c>
      <c r="F91" s="3" t="s">
        <v>19</v>
      </c>
      <c r="G91" s="3" t="s">
        <v>510</v>
      </c>
      <c r="H91" s="17" t="s">
        <v>13</v>
      </c>
      <c r="I91" s="9" t="s">
        <v>93</v>
      </c>
      <c r="J91" s="14" t="s">
        <v>174</v>
      </c>
      <c r="K91" s="9" t="s">
        <v>88</v>
      </c>
      <c r="L91" s="13" t="s">
        <v>249</v>
      </c>
      <c r="M91" s="17" t="s">
        <v>228</v>
      </c>
    </row>
    <row r="92" spans="2:13" ht="85" x14ac:dyDescent="0.45">
      <c r="B92" s="70"/>
      <c r="C92" s="70"/>
      <c r="D92" s="4" t="str">
        <f>IF(COUNTA(E92),_xlfn.CONCAT("SW-FW-UnitTest-CFX-ID-",COUNTA(E$34:E92)),"")</f>
        <v>SW-FW-UnitTest-CFX-ID-59</v>
      </c>
      <c r="E92" s="3" t="s">
        <v>83</v>
      </c>
      <c r="F92" s="3" t="s">
        <v>19</v>
      </c>
      <c r="G92" s="3" t="s">
        <v>511</v>
      </c>
      <c r="H92" s="17" t="s">
        <v>13</v>
      </c>
      <c r="I92" s="9" t="s">
        <v>95</v>
      </c>
      <c r="J92" s="14" t="s">
        <v>174</v>
      </c>
      <c r="K92" s="9" t="s">
        <v>84</v>
      </c>
      <c r="L92" s="13" t="s">
        <v>250</v>
      </c>
      <c r="M92" s="17" t="s">
        <v>228</v>
      </c>
    </row>
    <row r="93" spans="2:13" ht="68" x14ac:dyDescent="0.45">
      <c r="B93" s="70"/>
      <c r="C93" s="71" t="s">
        <v>100</v>
      </c>
      <c r="D93" s="4" t="str">
        <f>IF(COUNTA(E93),_xlfn.CONCAT("SW-FW-UnitTest-CFX-ID-",COUNTA(E$34:E93)),"")</f>
        <v>SW-FW-UnitTest-CFX-ID-60</v>
      </c>
      <c r="E93" s="3" t="s">
        <v>90</v>
      </c>
      <c r="F93" s="3" t="s">
        <v>19</v>
      </c>
      <c r="G93" s="3" t="s">
        <v>512</v>
      </c>
      <c r="H93" s="17" t="s">
        <v>13</v>
      </c>
      <c r="I93" s="9" t="s">
        <v>96</v>
      </c>
      <c r="J93" s="13" t="s">
        <v>175</v>
      </c>
      <c r="K93" s="9" t="s">
        <v>92</v>
      </c>
      <c r="L93" s="13" t="s">
        <v>251</v>
      </c>
      <c r="M93" s="17" t="s">
        <v>228</v>
      </c>
    </row>
    <row r="94" spans="2:13" ht="85" x14ac:dyDescent="0.45">
      <c r="B94" s="70"/>
      <c r="C94" s="71"/>
      <c r="D94" s="4" t="str">
        <f>IF(COUNTA(E94),_xlfn.CONCAT("SW-FW-UnitTest-CFX-ID-",COUNTA(E$34:E94)),"")</f>
        <v>SW-FW-UnitTest-CFX-ID-61</v>
      </c>
      <c r="E94" s="3" t="s">
        <v>91</v>
      </c>
      <c r="F94" s="3" t="s">
        <v>19</v>
      </c>
      <c r="G94" s="3" t="s">
        <v>513</v>
      </c>
      <c r="H94" s="17" t="s">
        <v>13</v>
      </c>
      <c r="I94" s="13" t="s">
        <v>97</v>
      </c>
      <c r="J94" s="13" t="s">
        <v>98</v>
      </c>
      <c r="K94" s="9" t="s">
        <v>99</v>
      </c>
      <c r="L94" s="13" t="s">
        <v>252</v>
      </c>
      <c r="M94" s="17" t="s">
        <v>228</v>
      </c>
    </row>
    <row r="95" spans="2:13" ht="34" x14ac:dyDescent="0.45">
      <c r="B95" s="70" t="s">
        <v>177</v>
      </c>
      <c r="C95" s="71" t="s">
        <v>102</v>
      </c>
      <c r="D95" s="4" t="str">
        <f>IF(COUNTA(E95),_xlfn.CONCAT("SW-FW-UnitTest-CM3-ID-",COUNTA(E$95:E95)),"")</f>
        <v>SW-FW-UnitTest-CM3-ID-1</v>
      </c>
      <c r="E95" s="3" t="s">
        <v>104</v>
      </c>
      <c r="F95" s="3" t="s">
        <v>20</v>
      </c>
      <c r="G95" s="3" t="s">
        <v>514</v>
      </c>
      <c r="H95" s="17" t="s">
        <v>13</v>
      </c>
      <c r="I95" s="14" t="s">
        <v>13</v>
      </c>
      <c r="J95" s="14" t="s">
        <v>22</v>
      </c>
      <c r="K95" s="9" t="s">
        <v>105</v>
      </c>
      <c r="L95" s="13" t="s">
        <v>299</v>
      </c>
      <c r="M95" s="17" t="s">
        <v>228</v>
      </c>
    </row>
    <row r="96" spans="2:13" ht="34" x14ac:dyDescent="0.45">
      <c r="B96" s="70"/>
      <c r="C96" s="71"/>
      <c r="D96" s="4" t="str">
        <f>IF(COUNTA(E96),_xlfn.CONCAT("SW-FW-UnitTest-CM3-ID-",COUNTA(E$95:E96)),"")</f>
        <v>SW-FW-UnitTest-CM3-ID-2</v>
      </c>
      <c r="E96" s="3" t="s">
        <v>106</v>
      </c>
      <c r="F96" s="3" t="s">
        <v>20</v>
      </c>
      <c r="G96" s="3" t="s">
        <v>515</v>
      </c>
      <c r="H96" s="17" t="s">
        <v>13</v>
      </c>
      <c r="I96" s="14" t="s">
        <v>13</v>
      </c>
      <c r="J96" s="14" t="s">
        <v>22</v>
      </c>
      <c r="K96" s="18" t="str">
        <f>_xlfn.CONCAT("- ", E96, " 구현")</f>
        <v>- 메모리 에러 LED  출력 구현</v>
      </c>
      <c r="L96" s="13" t="s">
        <v>311</v>
      </c>
      <c r="M96" s="17" t="s">
        <v>228</v>
      </c>
    </row>
    <row r="97" spans="2:13" ht="34" x14ac:dyDescent="0.45">
      <c r="B97" s="70"/>
      <c r="C97" s="71"/>
      <c r="D97" s="4" t="str">
        <f>IF(COUNTA(E97),_xlfn.CONCAT("SW-FW-UnitTest-CM3-ID-",COUNTA(E$95:E97)),"")</f>
        <v>SW-FW-UnitTest-CM3-ID-3</v>
      </c>
      <c r="E97" s="3" t="s">
        <v>107</v>
      </c>
      <c r="F97" s="3" t="s">
        <v>20</v>
      </c>
      <c r="G97" s="3" t="s">
        <v>516</v>
      </c>
      <c r="H97" s="17" t="s">
        <v>13</v>
      </c>
      <c r="I97" s="14" t="s">
        <v>13</v>
      </c>
      <c r="J97" s="14" t="s">
        <v>22</v>
      </c>
      <c r="K97" s="18" t="str">
        <f>_xlfn.CONCAT("- ", E97, " 구현")</f>
        <v>- NRF 리셋 구현</v>
      </c>
      <c r="L97" s="13" t="s">
        <v>300</v>
      </c>
      <c r="M97" s="17" t="s">
        <v>228</v>
      </c>
    </row>
    <row r="98" spans="2:13" ht="34" x14ac:dyDescent="0.45">
      <c r="B98" s="70"/>
      <c r="C98" s="71"/>
      <c r="D98" s="4" t="str">
        <f>IF(COUNTA(E98),_xlfn.CONCAT("SW-FW-UnitTest-CM3-ID-",COUNTA(E$95:E98)),"")</f>
        <v>SW-FW-UnitTest-CM3-ID-4</v>
      </c>
      <c r="E98" s="3" t="s">
        <v>201</v>
      </c>
      <c r="F98" s="3" t="s">
        <v>20</v>
      </c>
      <c r="G98" s="3" t="s">
        <v>517</v>
      </c>
      <c r="H98" s="17" t="s">
        <v>13</v>
      </c>
      <c r="I98" s="14" t="s">
        <v>13</v>
      </c>
      <c r="J98" s="14" t="s">
        <v>22</v>
      </c>
      <c r="K98" s="18" t="str">
        <f t="shared" ref="K98:K161" si="2">_xlfn.CONCAT("- ", E98, " 구현")</f>
        <v>- NRF Off 명령  구현</v>
      </c>
      <c r="L98" s="13" t="s">
        <v>301</v>
      </c>
      <c r="M98" s="17" t="s">
        <v>228</v>
      </c>
    </row>
    <row r="99" spans="2:13" ht="34" x14ac:dyDescent="0.45">
      <c r="B99" s="70"/>
      <c r="C99" s="71"/>
      <c r="D99" s="4" t="str">
        <f>IF(COUNTA(E99),_xlfn.CONCAT("SW-FW-UnitTest-CM3-ID-",COUNTA(E$95:E99)),"")</f>
        <v>SW-FW-UnitTest-CM3-ID-5</v>
      </c>
      <c r="E99" s="3" t="s">
        <v>108</v>
      </c>
      <c r="F99" s="3" t="s">
        <v>20</v>
      </c>
      <c r="G99" s="3" t="s">
        <v>518</v>
      </c>
      <c r="H99" s="17" t="s">
        <v>13</v>
      </c>
      <c r="I99" s="14" t="s">
        <v>13</v>
      </c>
      <c r="J99" s="14" t="s">
        <v>22</v>
      </c>
      <c r="K99" s="18" t="str">
        <f t="shared" si="2"/>
        <v>- 인터럽트 리셋 구현</v>
      </c>
      <c r="L99" s="13" t="s">
        <v>302</v>
      </c>
      <c r="M99" s="17" t="s">
        <v>228</v>
      </c>
    </row>
    <row r="100" spans="2:13" ht="34" x14ac:dyDescent="0.45">
      <c r="B100" s="70"/>
      <c r="C100" s="71"/>
      <c r="D100" s="4" t="str">
        <f>IF(COUNTA(E100),_xlfn.CONCAT("SW-FW-UnitTest-CM3-ID-",COUNTA(E$95:E100)),"")</f>
        <v>SW-FW-UnitTest-CM3-ID-6</v>
      </c>
      <c r="E100" s="3" t="s">
        <v>109</v>
      </c>
      <c r="F100" s="3" t="s">
        <v>20</v>
      </c>
      <c r="G100" s="3" t="s">
        <v>519</v>
      </c>
      <c r="H100" s="17" t="s">
        <v>13</v>
      </c>
      <c r="I100" s="14" t="s">
        <v>13</v>
      </c>
      <c r="J100" s="14" t="s">
        <v>22</v>
      </c>
      <c r="K100" s="18" t="str">
        <f t="shared" si="2"/>
        <v>- DMA 리셋 구현</v>
      </c>
      <c r="L100" s="13" t="s">
        <v>303</v>
      </c>
      <c r="M100" s="17" t="s">
        <v>228</v>
      </c>
    </row>
    <row r="101" spans="2:13" ht="34" x14ac:dyDescent="0.45">
      <c r="B101" s="70"/>
      <c r="C101" s="71"/>
      <c r="D101" s="4" t="str">
        <f>IF(COUNTA(E101),_xlfn.CONCAT("SW-FW-UnitTest-CM3-ID-",COUNTA(E$95:E101)),"")</f>
        <v>SW-FW-UnitTest-CM3-ID-7</v>
      </c>
      <c r="E101" s="3" t="s">
        <v>110</v>
      </c>
      <c r="F101" s="3" t="s">
        <v>20</v>
      </c>
      <c r="G101" s="3" t="s">
        <v>520</v>
      </c>
      <c r="H101" s="17" t="s">
        <v>13</v>
      </c>
      <c r="I101" s="14" t="s">
        <v>13</v>
      </c>
      <c r="J101" s="14" t="s">
        <v>22</v>
      </c>
      <c r="K101" s="18" t="str">
        <f t="shared" si="2"/>
        <v>- I2C 설정 구현</v>
      </c>
      <c r="L101" s="13" t="s">
        <v>305</v>
      </c>
      <c r="M101" s="17" t="s">
        <v>228</v>
      </c>
    </row>
    <row r="102" spans="2:13" ht="68" x14ac:dyDescent="0.45">
      <c r="B102" s="70"/>
      <c r="C102" s="71"/>
      <c r="D102" s="4" t="str">
        <f>IF(COUNTA(E102),_xlfn.CONCAT("SW-FW-UnitTest-CM3-ID-",COUNTA(E$95:E102)),"")</f>
        <v>SW-FW-UnitTest-CM3-ID-8</v>
      </c>
      <c r="E102" s="3" t="s">
        <v>111</v>
      </c>
      <c r="F102" s="3" t="s">
        <v>20</v>
      </c>
      <c r="G102" s="3" t="s">
        <v>521</v>
      </c>
      <c r="H102" s="17" t="s">
        <v>13</v>
      </c>
      <c r="I102" s="14" t="s">
        <v>13</v>
      </c>
      <c r="J102" s="14" t="s">
        <v>22</v>
      </c>
      <c r="K102" s="18" t="str">
        <f t="shared" si="2"/>
        <v>- SPI 설정 구현</v>
      </c>
      <c r="L102" s="13" t="s">
        <v>306</v>
      </c>
      <c r="M102" s="17" t="s">
        <v>228</v>
      </c>
    </row>
    <row r="103" spans="2:13" ht="34" x14ac:dyDescent="0.45">
      <c r="B103" s="70"/>
      <c r="C103" s="71"/>
      <c r="D103" s="4" t="str">
        <f>IF(COUNTA(E103),_xlfn.CONCAT("SW-FW-UnitTest-CM3-ID-",COUNTA(E$95:E103)),"")</f>
        <v>SW-FW-UnitTest-CM3-ID-9</v>
      </c>
      <c r="E103" s="3" t="s">
        <v>112</v>
      </c>
      <c r="F103" s="3" t="s">
        <v>20</v>
      </c>
      <c r="G103" s="3" t="s">
        <v>522</v>
      </c>
      <c r="H103" s="17" t="s">
        <v>13</v>
      </c>
      <c r="I103" s="14" t="s">
        <v>13</v>
      </c>
      <c r="J103" s="14" t="s">
        <v>22</v>
      </c>
      <c r="K103" s="18" t="str">
        <f t="shared" si="2"/>
        <v>- 주기 반복용 인터럽트 설정 구현</v>
      </c>
      <c r="L103" s="13" t="s">
        <v>304</v>
      </c>
      <c r="M103" s="17" t="s">
        <v>228</v>
      </c>
    </row>
    <row r="104" spans="2:13" ht="34" x14ac:dyDescent="0.45">
      <c r="B104" s="70"/>
      <c r="C104" s="71"/>
      <c r="D104" s="4" t="str">
        <f>IF(COUNTA(E104),_xlfn.CONCAT("SW-FW-UnitTest-CM3-ID-",COUNTA(E$95:E104)),"")</f>
        <v>SW-FW-UnitTest-CM3-ID-10</v>
      </c>
      <c r="E104" s="3" t="s">
        <v>113</v>
      </c>
      <c r="F104" s="3" t="s">
        <v>20</v>
      </c>
      <c r="G104" s="3" t="s">
        <v>523</v>
      </c>
      <c r="H104" s="17" t="s">
        <v>13</v>
      </c>
      <c r="I104" s="14" t="s">
        <v>13</v>
      </c>
      <c r="J104" s="14" t="s">
        <v>22</v>
      </c>
      <c r="K104" s="18" t="str">
        <f t="shared" si="2"/>
        <v>- 인터럽트 활성화 구현</v>
      </c>
      <c r="L104" s="13" t="s">
        <v>307</v>
      </c>
      <c r="M104" s="17" t="s">
        <v>228</v>
      </c>
    </row>
    <row r="105" spans="2:13" ht="34" x14ac:dyDescent="0.45">
      <c r="B105" s="70"/>
      <c r="C105" s="71"/>
      <c r="D105" s="4" t="str">
        <f>IF(COUNTA(E105),_xlfn.CONCAT("SW-FW-UnitTest-CM3-ID-",COUNTA(E$95:E105)),"")</f>
        <v>SW-FW-UnitTest-CM3-ID-11</v>
      </c>
      <c r="E105" s="3" t="s">
        <v>298</v>
      </c>
      <c r="F105" s="3" t="s">
        <v>20</v>
      </c>
      <c r="G105" s="3" t="s">
        <v>524</v>
      </c>
      <c r="H105" s="17" t="s">
        <v>13</v>
      </c>
      <c r="I105" s="14" t="s">
        <v>13</v>
      </c>
      <c r="J105" s="14" t="s">
        <v>22</v>
      </c>
      <c r="K105" s="18" t="str">
        <f t="shared" si="2"/>
        <v>- 사용 준비 상태 전송 구현</v>
      </c>
      <c r="L105" s="13" t="s">
        <v>308</v>
      </c>
      <c r="M105" s="17" t="s">
        <v>228</v>
      </c>
    </row>
    <row r="106" spans="2:13" ht="34" x14ac:dyDescent="0.45">
      <c r="B106" s="70"/>
      <c r="C106" s="71"/>
      <c r="D106" s="4" t="str">
        <f>IF(COUNTA(E106),_xlfn.CONCAT("SW-FW-UnitTest-CM3-ID-",COUNTA(E$95:E106)),"")</f>
        <v>SW-FW-UnitTest-CM3-ID-12</v>
      </c>
      <c r="E106" s="3" t="s">
        <v>114</v>
      </c>
      <c r="F106" s="3" t="s">
        <v>20</v>
      </c>
      <c r="G106" s="3" t="s">
        <v>525</v>
      </c>
      <c r="H106" s="17" t="s">
        <v>13</v>
      </c>
      <c r="I106" s="14" t="s">
        <v>13</v>
      </c>
      <c r="J106" s="14" t="s">
        <v>22</v>
      </c>
      <c r="K106" s="18" t="str">
        <f t="shared" si="2"/>
        <v>- PMIC 전원 끔 구현</v>
      </c>
      <c r="L106" s="13" t="s">
        <v>309</v>
      </c>
      <c r="M106" s="17" t="s">
        <v>228</v>
      </c>
    </row>
    <row r="107" spans="2:13" ht="51" x14ac:dyDescent="0.45">
      <c r="B107" s="70"/>
      <c r="C107" s="71"/>
      <c r="D107" s="4" t="str">
        <f>IF(COUNTA(E107),_xlfn.CONCAT("SW-FW-UnitTest-CM3-ID-",COUNTA(E$95:E107)),"")</f>
        <v>SW-FW-UnitTest-CM3-ID-13</v>
      </c>
      <c r="E107" s="3" t="s">
        <v>115</v>
      </c>
      <c r="F107" s="3" t="s">
        <v>20</v>
      </c>
      <c r="G107" s="3" t="s">
        <v>526</v>
      </c>
      <c r="H107" s="17" t="s">
        <v>13</v>
      </c>
      <c r="I107" s="14" t="s">
        <v>13</v>
      </c>
      <c r="J107" s="14" t="s">
        <v>22</v>
      </c>
      <c r="K107" s="18" t="str">
        <f t="shared" si="2"/>
        <v>- 가속도 센서 초기화 구현</v>
      </c>
      <c r="L107" s="13" t="s">
        <v>310</v>
      </c>
      <c r="M107" s="17" t="s">
        <v>228</v>
      </c>
    </row>
    <row r="108" spans="2:13" ht="34" x14ac:dyDescent="0.45">
      <c r="B108" s="70"/>
      <c r="C108" s="71"/>
      <c r="D108" s="4" t="str">
        <f>IF(COUNTA(E108),_xlfn.CONCAT("SW-FW-UnitTest-CM3-ID-",COUNTA(E$95:E108)),"")</f>
        <v>SW-FW-UnitTest-CM3-ID-14</v>
      </c>
      <c r="E108" s="3" t="s">
        <v>116</v>
      </c>
      <c r="F108" s="3" t="s">
        <v>20</v>
      </c>
      <c r="G108" s="3" t="s">
        <v>527</v>
      </c>
      <c r="H108" s="17" t="s">
        <v>13</v>
      </c>
      <c r="I108" s="14" t="s">
        <v>13</v>
      </c>
      <c r="J108" s="14" t="s">
        <v>22</v>
      </c>
      <c r="K108" s="18" t="str">
        <f t="shared" si="2"/>
        <v>- CFX 초기화 에러 LED 출력 구현</v>
      </c>
      <c r="L108" s="13" t="s">
        <v>312</v>
      </c>
      <c r="M108" s="17" t="s">
        <v>228</v>
      </c>
    </row>
    <row r="109" spans="2:13" ht="85" x14ac:dyDescent="0.45">
      <c r="B109" s="70"/>
      <c r="C109" s="71"/>
      <c r="D109" s="4" t="str">
        <f>IF(COUNTA(E109),_xlfn.CONCAT("SW-FW-UnitTest-CM3-ID-",COUNTA(E$95:E109)),"")</f>
        <v>SW-FW-UnitTest-CM3-ID-15</v>
      </c>
      <c r="E109" s="3" t="s">
        <v>117</v>
      </c>
      <c r="F109" s="3" t="s">
        <v>20</v>
      </c>
      <c r="G109" s="3" t="s">
        <v>528</v>
      </c>
      <c r="H109" s="17" t="s">
        <v>13</v>
      </c>
      <c r="I109" s="14" t="s">
        <v>13</v>
      </c>
      <c r="J109" s="14" t="s">
        <v>22</v>
      </c>
      <c r="K109" s="18" t="str">
        <f t="shared" si="2"/>
        <v>- 배터리 모니터링 경계 값 구현</v>
      </c>
      <c r="L109" s="13" t="s">
        <v>313</v>
      </c>
      <c r="M109" s="17" t="s">
        <v>228</v>
      </c>
    </row>
    <row r="110" spans="2:13" ht="34" x14ac:dyDescent="0.45">
      <c r="B110" s="70"/>
      <c r="C110" s="71"/>
      <c r="D110" s="4" t="str">
        <f>IF(COUNTA(E110),_xlfn.CONCAT("SW-FW-UnitTest-CM3-ID-",COUNTA(E$95:E110)),"")</f>
        <v>SW-FW-UnitTest-CM3-ID-16</v>
      </c>
      <c r="E110" s="3" t="s">
        <v>118</v>
      </c>
      <c r="F110" s="3" t="s">
        <v>20</v>
      </c>
      <c r="G110" s="3" t="s">
        <v>529</v>
      </c>
      <c r="H110" s="17" t="s">
        <v>13</v>
      </c>
      <c r="I110" s="14" t="s">
        <v>13</v>
      </c>
      <c r="J110" s="14" t="s">
        <v>22</v>
      </c>
      <c r="K110" s="18" t="str">
        <f t="shared" si="2"/>
        <v>- 에러 플래그 제거 구현</v>
      </c>
      <c r="L110" s="13" t="s">
        <v>314</v>
      </c>
      <c r="M110" s="17" t="s">
        <v>228</v>
      </c>
    </row>
    <row r="111" spans="2:13" ht="34" x14ac:dyDescent="0.45">
      <c r="B111" s="70"/>
      <c r="C111" s="71"/>
      <c r="D111" s="4" t="str">
        <f>IF(COUNTA(E111),_xlfn.CONCAT("SW-FW-UnitTest-CM3-ID-",COUNTA(E$95:E111)),"")</f>
        <v>SW-FW-UnitTest-CM3-ID-17</v>
      </c>
      <c r="E111" s="3" t="s">
        <v>119</v>
      </c>
      <c r="F111" s="3" t="s">
        <v>20</v>
      </c>
      <c r="G111" s="3" t="s">
        <v>530</v>
      </c>
      <c r="H111" s="17" t="s">
        <v>13</v>
      </c>
      <c r="I111" s="14" t="s">
        <v>13</v>
      </c>
      <c r="J111" s="14" t="s">
        <v>22</v>
      </c>
      <c r="K111" s="18" t="str">
        <f t="shared" si="2"/>
        <v>- 인터럽트 서비스 루틴, I2C 구현</v>
      </c>
      <c r="L111" s="13" t="s">
        <v>315</v>
      </c>
      <c r="M111" s="17" t="s">
        <v>228</v>
      </c>
    </row>
    <row r="112" spans="2:13" ht="34" x14ac:dyDescent="0.45">
      <c r="B112" s="70"/>
      <c r="C112" s="71"/>
      <c r="D112" s="4" t="str">
        <f>IF(COUNTA(E112),_xlfn.CONCAT("SW-FW-UnitTest-CM3-ID-",COUNTA(E$95:E112)),"")</f>
        <v>SW-FW-UnitTest-CM3-ID-18</v>
      </c>
      <c r="E112" s="3" t="s">
        <v>120</v>
      </c>
      <c r="F112" s="3" t="s">
        <v>20</v>
      </c>
      <c r="G112" s="3" t="s">
        <v>531</v>
      </c>
      <c r="H112" s="17" t="s">
        <v>13</v>
      </c>
      <c r="I112" s="14" t="s">
        <v>13</v>
      </c>
      <c r="J112" s="14" t="s">
        <v>22</v>
      </c>
      <c r="K112" s="18" t="str">
        <f t="shared" si="2"/>
        <v>- 인터럽트 서비스 루틴, SPI 에러 구현</v>
      </c>
      <c r="L112" s="13" t="s">
        <v>316</v>
      </c>
      <c r="M112" s="17" t="s">
        <v>228</v>
      </c>
    </row>
    <row r="113" spans="2:13" ht="34" x14ac:dyDescent="0.45">
      <c r="B113" s="70"/>
      <c r="C113" s="71"/>
      <c r="D113" s="4" t="str">
        <f>IF(COUNTA(E113),_xlfn.CONCAT("SW-FW-UnitTest-CM3-ID-",COUNTA(E$95:E113)),"")</f>
        <v>SW-FW-UnitTest-CM3-ID-19</v>
      </c>
      <c r="E113" s="3" t="s">
        <v>121</v>
      </c>
      <c r="F113" s="3" t="s">
        <v>20</v>
      </c>
      <c r="G113" s="3" t="s">
        <v>532</v>
      </c>
      <c r="H113" s="17" t="s">
        <v>13</v>
      </c>
      <c r="I113" s="14" t="s">
        <v>13</v>
      </c>
      <c r="J113" s="14" t="s">
        <v>22</v>
      </c>
      <c r="K113" s="18" t="str">
        <f t="shared" si="2"/>
        <v>- 인터럽트 서비스 루틴, DMA 0 구현</v>
      </c>
      <c r="L113" s="13" t="s">
        <v>317</v>
      </c>
      <c r="M113" s="17" t="s">
        <v>228</v>
      </c>
    </row>
    <row r="114" spans="2:13" ht="34" x14ac:dyDescent="0.45">
      <c r="B114" s="70"/>
      <c r="C114" s="71"/>
      <c r="D114" s="4" t="str">
        <f>IF(COUNTA(E114),_xlfn.CONCAT("SW-FW-UnitTest-CM3-ID-",COUNTA(E$95:E114)),"")</f>
        <v>SW-FW-UnitTest-CM3-ID-20</v>
      </c>
      <c r="E114" s="3" t="s">
        <v>122</v>
      </c>
      <c r="F114" s="3" t="s">
        <v>20</v>
      </c>
      <c r="G114" s="3" t="s">
        <v>533</v>
      </c>
      <c r="H114" s="17" t="s">
        <v>13</v>
      </c>
      <c r="I114" s="14" t="s">
        <v>13</v>
      </c>
      <c r="J114" s="14" t="s">
        <v>22</v>
      </c>
      <c r="K114" s="18" t="str">
        <f t="shared" si="2"/>
        <v>- 인터럽트 서비스 루틴, DMA 1 구현</v>
      </c>
      <c r="L114" s="13" t="s">
        <v>318</v>
      </c>
      <c r="M114" s="17" t="s">
        <v>228</v>
      </c>
    </row>
    <row r="115" spans="2:13" ht="34" x14ac:dyDescent="0.45">
      <c r="B115" s="70"/>
      <c r="C115" s="71"/>
      <c r="D115" s="4" t="str">
        <f>IF(COUNTA(E115),_xlfn.CONCAT("SW-FW-UnitTest-CM3-ID-",COUNTA(E$95:E115)),"")</f>
        <v>SW-FW-UnitTest-CM3-ID-21</v>
      </c>
      <c r="E115" s="3" t="s">
        <v>123</v>
      </c>
      <c r="F115" s="3" t="s">
        <v>20</v>
      </c>
      <c r="G115" s="3" t="s">
        <v>534</v>
      </c>
      <c r="H115" s="17" t="s">
        <v>13</v>
      </c>
      <c r="I115" s="14" t="s">
        <v>13</v>
      </c>
      <c r="J115" s="14" t="s">
        <v>22</v>
      </c>
      <c r="K115" s="18" t="str">
        <f t="shared" si="2"/>
        <v>- 에러 확인  구현</v>
      </c>
      <c r="L115" s="13" t="s">
        <v>319</v>
      </c>
      <c r="M115" s="17" t="s">
        <v>228</v>
      </c>
    </row>
    <row r="116" spans="2:13" ht="34" x14ac:dyDescent="0.45">
      <c r="B116" s="70"/>
      <c r="C116" s="71"/>
      <c r="D116" s="4" t="str">
        <f>IF(COUNTA(E116),_xlfn.CONCAT("SW-FW-UnitTest-CM3-ID-",COUNTA(E$95:E116)),"")</f>
        <v>SW-FW-UnitTest-CM3-ID-22</v>
      </c>
      <c r="E116" s="3" t="s">
        <v>124</v>
      </c>
      <c r="F116" s="3" t="s">
        <v>20</v>
      </c>
      <c r="G116" s="3" t="s">
        <v>535</v>
      </c>
      <c r="H116" s="17" t="s">
        <v>13</v>
      </c>
      <c r="I116" s="14" t="s">
        <v>13</v>
      </c>
      <c r="J116" s="14" t="s">
        <v>22</v>
      </c>
      <c r="K116" s="18" t="str">
        <f t="shared" si="2"/>
        <v>- LED 출력 상태 확인 구현</v>
      </c>
      <c r="L116" s="13" t="s">
        <v>320</v>
      </c>
      <c r="M116" s="17" t="s">
        <v>228</v>
      </c>
    </row>
    <row r="117" spans="2:13" ht="34" x14ac:dyDescent="0.45">
      <c r="B117" s="70"/>
      <c r="C117" s="71"/>
      <c r="D117" s="4" t="str">
        <f>IF(COUNTA(E117),_xlfn.CONCAT("SW-FW-UnitTest-CM3-ID-",COUNTA(E$95:E117)),"")</f>
        <v>SW-FW-UnitTest-CM3-ID-23</v>
      </c>
      <c r="E117" s="3" t="s">
        <v>58</v>
      </c>
      <c r="F117" s="3" t="s">
        <v>20</v>
      </c>
      <c r="G117" s="3" t="s">
        <v>536</v>
      </c>
      <c r="H117" s="17" t="s">
        <v>13</v>
      </c>
      <c r="I117" s="14" t="s">
        <v>13</v>
      </c>
      <c r="J117" s="14" t="s">
        <v>22</v>
      </c>
      <c r="K117" s="18" t="str">
        <f t="shared" si="2"/>
        <v>- 배터리 잔량 업데이트 구현</v>
      </c>
      <c r="L117" s="13" t="s">
        <v>321</v>
      </c>
      <c r="M117" s="17" t="s">
        <v>228</v>
      </c>
    </row>
    <row r="118" spans="2:13" ht="51" x14ac:dyDescent="0.45">
      <c r="B118" s="70"/>
      <c r="C118" s="71"/>
      <c r="D118" s="4" t="str">
        <f>IF(COUNTA(E118),_xlfn.CONCAT("SW-FW-UnitTest-CM3-ID-",COUNTA(E$95:E118)),"")</f>
        <v>SW-FW-UnitTest-CM3-ID-24</v>
      </c>
      <c r="E118" s="3" t="s">
        <v>125</v>
      </c>
      <c r="F118" s="3" t="s">
        <v>20</v>
      </c>
      <c r="G118" s="3" t="s">
        <v>537</v>
      </c>
      <c r="H118" s="17" t="s">
        <v>13</v>
      </c>
      <c r="I118" s="14" t="s">
        <v>13</v>
      </c>
      <c r="J118" s="14" t="s">
        <v>22</v>
      </c>
      <c r="K118" s="18" t="str">
        <f t="shared" si="2"/>
        <v>- 사용자 인터페이스 제어 구현</v>
      </c>
      <c r="L118" s="13" t="s">
        <v>322</v>
      </c>
      <c r="M118" s="17" t="s">
        <v>228</v>
      </c>
    </row>
    <row r="119" spans="2:13" ht="34" x14ac:dyDescent="0.45">
      <c r="B119" s="70"/>
      <c r="C119" s="71"/>
      <c r="D119" s="4" t="str">
        <f>IF(COUNTA(E119),_xlfn.CONCAT("SW-FW-UnitTest-CM3-ID-",COUNTA(E$95:E119)),"")</f>
        <v>SW-FW-UnitTest-CM3-ID-25</v>
      </c>
      <c r="E119" s="3" t="s">
        <v>126</v>
      </c>
      <c r="F119" s="3" t="s">
        <v>20</v>
      </c>
      <c r="G119" s="3" t="s">
        <v>538</v>
      </c>
      <c r="H119" s="17" t="s">
        <v>13</v>
      </c>
      <c r="I119" s="14" t="s">
        <v>13</v>
      </c>
      <c r="J119" s="14" t="s">
        <v>22</v>
      </c>
      <c r="K119" s="18" t="str">
        <f t="shared" si="2"/>
        <v>- 맵 번호 업데이트  구현</v>
      </c>
      <c r="L119" s="13" t="s">
        <v>323</v>
      </c>
      <c r="M119" s="17" t="s">
        <v>228</v>
      </c>
    </row>
    <row r="120" spans="2:13" ht="34" x14ac:dyDescent="0.45">
      <c r="B120" s="70"/>
      <c r="C120" s="71"/>
      <c r="D120" s="4" t="str">
        <f>IF(COUNTA(E120),_xlfn.CONCAT("SW-FW-UnitTest-CM3-ID-",COUNTA(E$95:E120)),"")</f>
        <v>SW-FW-UnitTest-CM3-ID-26</v>
      </c>
      <c r="E120" s="3" t="s">
        <v>143</v>
      </c>
      <c r="F120" s="3" t="s">
        <v>20</v>
      </c>
      <c r="G120" s="3" t="s">
        <v>539</v>
      </c>
      <c r="H120" s="17" t="s">
        <v>13</v>
      </c>
      <c r="I120" s="14" t="s">
        <v>13</v>
      </c>
      <c r="J120" s="14" t="s">
        <v>22</v>
      </c>
      <c r="K120" s="18" t="str">
        <f t="shared" si="2"/>
        <v>- 자극 알림 출력 구현</v>
      </c>
      <c r="L120" s="13" t="s">
        <v>324</v>
      </c>
      <c r="M120" s="17" t="s">
        <v>228</v>
      </c>
    </row>
    <row r="121" spans="2:13" ht="34" x14ac:dyDescent="0.45">
      <c r="B121" s="70"/>
      <c r="C121" s="71"/>
      <c r="D121" s="4" t="str">
        <f>IF(COUNTA(E121),_xlfn.CONCAT("SW-FW-UnitTest-CM3-ID-",COUNTA(E$95:E121)),"")</f>
        <v>SW-FW-UnitTest-CM3-ID-27</v>
      </c>
      <c r="E121" s="3" t="s">
        <v>128</v>
      </c>
      <c r="F121" s="3" t="s">
        <v>20</v>
      </c>
      <c r="G121" s="3" t="s">
        <v>540</v>
      </c>
      <c r="H121" s="17" t="s">
        <v>13</v>
      </c>
      <c r="I121" s="14" t="s">
        <v>13</v>
      </c>
      <c r="J121" s="14" t="s">
        <v>22</v>
      </c>
      <c r="K121" s="18" t="str">
        <f t="shared" si="2"/>
        <v>- PMIC On/Off  구현</v>
      </c>
      <c r="L121" s="13" t="s">
        <v>309</v>
      </c>
      <c r="M121" s="17" t="s">
        <v>228</v>
      </c>
    </row>
    <row r="122" spans="2:13" ht="34" x14ac:dyDescent="0.45">
      <c r="B122" s="70"/>
      <c r="C122" s="71"/>
      <c r="D122" s="4" t="str">
        <f>IF(COUNTA(E122),_xlfn.CONCAT("SW-FW-UnitTest-CM3-ID-",COUNTA(E$95:E122)),"")</f>
        <v>SW-FW-UnitTest-CM3-ID-28</v>
      </c>
      <c r="E122" s="3" t="s">
        <v>127</v>
      </c>
      <c r="F122" s="3" t="s">
        <v>20</v>
      </c>
      <c r="G122" s="3" t="s">
        <v>541</v>
      </c>
      <c r="H122" s="17" t="s">
        <v>13</v>
      </c>
      <c r="I122" s="14" t="s">
        <v>13</v>
      </c>
      <c r="J122" s="14" t="s">
        <v>22</v>
      </c>
      <c r="K122" s="18" t="str">
        <f>_xlfn.CONCAT("- ", E122, " 구현")</f>
        <v>- LED 패턴 출력  구현</v>
      </c>
      <c r="L122" s="13" t="s">
        <v>325</v>
      </c>
      <c r="M122" s="17" t="s">
        <v>228</v>
      </c>
    </row>
    <row r="123" spans="2:13" ht="51" x14ac:dyDescent="0.45">
      <c r="B123" s="70"/>
      <c r="C123" s="71"/>
      <c r="D123" s="4" t="str">
        <f>IF(COUNTA(E123),_xlfn.CONCAT("SW-FW-UnitTest-CM3-ID-",COUNTA(E$95:E123)),"")</f>
        <v>SW-FW-UnitTest-CM3-ID-29</v>
      </c>
      <c r="E123" s="3" t="s">
        <v>129</v>
      </c>
      <c r="F123" s="3" t="s">
        <v>20</v>
      </c>
      <c r="G123" s="3" t="s">
        <v>542</v>
      </c>
      <c r="H123" s="17" t="s">
        <v>13</v>
      </c>
      <c r="I123" s="14" t="s">
        <v>13</v>
      </c>
      <c r="J123" s="14" t="s">
        <v>22</v>
      </c>
      <c r="K123" s="18" t="str">
        <f t="shared" si="2"/>
        <v>- NRF On/Off 구현</v>
      </c>
      <c r="L123" s="13" t="s">
        <v>326</v>
      </c>
      <c r="M123" s="17" t="s">
        <v>228</v>
      </c>
    </row>
    <row r="124" spans="2:13" ht="34" x14ac:dyDescent="0.45">
      <c r="B124" s="70"/>
      <c r="C124" s="71"/>
      <c r="D124" s="4" t="str">
        <f>IF(COUNTA(E124),_xlfn.CONCAT("SW-FW-UnitTest-CM3-ID-",COUNTA(E$95:E124)),"")</f>
        <v>SW-FW-UnitTest-CM3-ID-30</v>
      </c>
      <c r="E124" s="3" t="s">
        <v>130</v>
      </c>
      <c r="F124" s="3" t="s">
        <v>20</v>
      </c>
      <c r="G124" s="3" t="s">
        <v>543</v>
      </c>
      <c r="H124" s="14" t="s">
        <v>13</v>
      </c>
      <c r="I124" s="14" t="s">
        <v>13</v>
      </c>
      <c r="J124" s="14" t="s">
        <v>22</v>
      </c>
      <c r="K124" s="18" t="str">
        <f t="shared" si="2"/>
        <v>- 공유메모리 접근, USB 커넥터 상태 읽기 구현</v>
      </c>
      <c r="L124" s="13" t="s">
        <v>332</v>
      </c>
      <c r="M124" s="17" t="s">
        <v>228</v>
      </c>
    </row>
    <row r="125" spans="2:13" ht="34" x14ac:dyDescent="0.45">
      <c r="B125" s="70"/>
      <c r="C125" s="71"/>
      <c r="D125" s="4" t="str">
        <f>IF(COUNTA(E125),_xlfn.CONCAT("SW-FW-UnitTest-CM3-ID-",COUNTA(E$95:E125)),"")</f>
        <v>SW-FW-UnitTest-CM3-ID-31</v>
      </c>
      <c r="E125" s="3" t="s">
        <v>131</v>
      </c>
      <c r="F125" s="3" t="s">
        <v>20</v>
      </c>
      <c r="G125" s="3" t="s">
        <v>544</v>
      </c>
      <c r="H125" s="14" t="s">
        <v>13</v>
      </c>
      <c r="I125" s="14" t="s">
        <v>13</v>
      </c>
      <c r="J125" s="14" t="s">
        <v>22</v>
      </c>
      <c r="K125" s="18" t="str">
        <f t="shared" si="2"/>
        <v>- 공유메모리 접근, 전원 버튼 상태 읽기 구현</v>
      </c>
      <c r="L125" s="13" t="s">
        <v>328</v>
      </c>
      <c r="M125" s="17" t="s">
        <v>228</v>
      </c>
    </row>
    <row r="126" spans="2:13" ht="34" x14ac:dyDescent="0.45">
      <c r="B126" s="70"/>
      <c r="C126" s="71"/>
      <c r="D126" s="4" t="str">
        <f>IF(COUNTA(E126),_xlfn.CONCAT("SW-FW-UnitTest-CM3-ID-",COUNTA(E$95:E126)),"")</f>
        <v>SW-FW-UnitTest-CM3-ID-32</v>
      </c>
      <c r="E126" s="3" t="s">
        <v>132</v>
      </c>
      <c r="F126" s="3" t="s">
        <v>20</v>
      </c>
      <c r="G126" s="3" t="s">
        <v>545</v>
      </c>
      <c r="H126" s="14" t="s">
        <v>13</v>
      </c>
      <c r="I126" s="14" t="s">
        <v>13</v>
      </c>
      <c r="J126" s="14" t="s">
        <v>22</v>
      </c>
      <c r="K126" s="18" t="str">
        <f t="shared" si="2"/>
        <v>- 공유메모리 접근, PMIC On/Off 구현</v>
      </c>
      <c r="L126" s="13" t="s">
        <v>327</v>
      </c>
      <c r="M126" s="17" t="s">
        <v>228</v>
      </c>
    </row>
    <row r="127" spans="2:13" ht="51" x14ac:dyDescent="0.45">
      <c r="B127" s="70"/>
      <c r="C127" s="71"/>
      <c r="D127" s="4" t="str">
        <f>IF(COUNTA(E127),_xlfn.CONCAT("SW-FW-UnitTest-CM3-ID-",COUNTA(E$95:E127)),"")</f>
        <v>SW-FW-UnitTest-CM3-ID-33</v>
      </c>
      <c r="E127" s="3" t="s">
        <v>133</v>
      </c>
      <c r="F127" s="3" t="s">
        <v>20</v>
      </c>
      <c r="G127" s="3" t="s">
        <v>546</v>
      </c>
      <c r="H127" s="14" t="s">
        <v>13</v>
      </c>
      <c r="I127" s="14" t="s">
        <v>13</v>
      </c>
      <c r="J127" s="14" t="s">
        <v>22</v>
      </c>
      <c r="K127" s="18" t="str">
        <f t="shared" si="2"/>
        <v>- 공유메모리 접근, 저전력 모드 진입 구현</v>
      </c>
      <c r="L127" s="13" t="s">
        <v>329</v>
      </c>
      <c r="M127" s="17" t="s">
        <v>228</v>
      </c>
    </row>
    <row r="128" spans="2:13" ht="34" x14ac:dyDescent="0.45">
      <c r="B128" s="70"/>
      <c r="C128" s="71"/>
      <c r="D128" s="4" t="str">
        <f>IF(COUNTA(E128),_xlfn.CONCAT("SW-FW-UnitTest-CM3-ID-",COUNTA(E$95:E128)),"")</f>
        <v>SW-FW-UnitTest-CM3-ID-34</v>
      </c>
      <c r="E128" s="3" t="s">
        <v>134</v>
      </c>
      <c r="F128" s="3" t="s">
        <v>20</v>
      </c>
      <c r="G128" s="3" t="s">
        <v>547</v>
      </c>
      <c r="H128" s="14" t="s">
        <v>13</v>
      </c>
      <c r="I128" s="14" t="s">
        <v>13</v>
      </c>
      <c r="J128" s="14" t="s">
        <v>22</v>
      </c>
      <c r="K128" s="18" t="str">
        <f t="shared" si="2"/>
        <v>- 공유메모리 접근, 배터리 전압 교정값 읽기 구현</v>
      </c>
      <c r="L128" s="13" t="s">
        <v>332</v>
      </c>
      <c r="M128" s="17" t="s">
        <v>228</v>
      </c>
    </row>
    <row r="129" spans="2:13" ht="34" x14ac:dyDescent="0.45">
      <c r="B129" s="70"/>
      <c r="C129" s="71"/>
      <c r="D129" s="4" t="str">
        <f>IF(COUNTA(E129),_xlfn.CONCAT("SW-FW-UnitTest-CM3-ID-",COUNTA(E$95:E129)),"")</f>
        <v>SW-FW-UnitTest-CM3-ID-35</v>
      </c>
      <c r="E129" s="3" t="s">
        <v>135</v>
      </c>
      <c r="F129" s="3" t="s">
        <v>20</v>
      </c>
      <c r="G129" s="3" t="s">
        <v>548</v>
      </c>
      <c r="H129" s="14" t="s">
        <v>13</v>
      </c>
      <c r="I129" s="14" t="s">
        <v>13</v>
      </c>
      <c r="J129" s="14" t="s">
        <v>22</v>
      </c>
      <c r="K129" s="18" t="str">
        <f t="shared" si="2"/>
        <v>- 공유메모리 접근, 배터리 전압 값 읽기 구현</v>
      </c>
      <c r="L129" s="13" t="s">
        <v>332</v>
      </c>
      <c r="M129" s="17" t="s">
        <v>228</v>
      </c>
    </row>
    <row r="130" spans="2:13" ht="34" x14ac:dyDescent="0.45">
      <c r="B130" s="70"/>
      <c r="C130" s="71"/>
      <c r="D130" s="4" t="str">
        <f>IF(COUNTA(E130),_xlfn.CONCAT("SW-FW-UnitTest-CM3-ID-",COUNTA(E$95:E130)),"")</f>
        <v>SW-FW-UnitTest-CM3-ID-36</v>
      </c>
      <c r="E130" s="3" t="s">
        <v>136</v>
      </c>
      <c r="F130" s="3" t="s">
        <v>20</v>
      </c>
      <c r="G130" s="3" t="s">
        <v>549</v>
      </c>
      <c r="H130" s="14" t="s">
        <v>13</v>
      </c>
      <c r="I130" s="14" t="s">
        <v>13</v>
      </c>
      <c r="J130" s="14" t="s">
        <v>22</v>
      </c>
      <c r="K130" s="18" t="str">
        <f t="shared" si="2"/>
        <v>- 공유메모리 접근, PCM 출력 모드 변경 구현</v>
      </c>
      <c r="L130" s="13" t="s">
        <v>338</v>
      </c>
      <c r="M130" s="17" t="s">
        <v>228</v>
      </c>
    </row>
    <row r="131" spans="2:13" ht="34" x14ac:dyDescent="0.45">
      <c r="B131" s="70"/>
      <c r="C131" s="71"/>
      <c r="D131" s="4" t="str">
        <f>IF(COUNTA(E131),_xlfn.CONCAT("SW-FW-UnitTest-CM3-ID-",COUNTA(E$95:E131)),"")</f>
        <v>SW-FW-UnitTest-CM3-ID-37</v>
      </c>
      <c r="E131" s="3" t="s">
        <v>137</v>
      </c>
      <c r="F131" s="3" t="s">
        <v>20</v>
      </c>
      <c r="G131" s="3" t="s">
        <v>550</v>
      </c>
      <c r="H131" s="14" t="s">
        <v>13</v>
      </c>
      <c r="I131" s="14" t="s">
        <v>13</v>
      </c>
      <c r="J131" s="14" t="s">
        <v>22</v>
      </c>
      <c r="K131" s="18" t="str">
        <f t="shared" si="2"/>
        <v>- 공유메모리 접근, next PCM 출력 모드 변경 구현</v>
      </c>
      <c r="L131" s="13" t="s">
        <v>337</v>
      </c>
      <c r="M131" s="17" t="s">
        <v>228</v>
      </c>
    </row>
    <row r="132" spans="2:13" ht="34" x14ac:dyDescent="0.45">
      <c r="B132" s="70"/>
      <c r="C132" s="71"/>
      <c r="D132" s="4" t="str">
        <f>IF(COUNTA(E132),_xlfn.CONCAT("SW-FW-UnitTest-CM3-ID-",COUNTA(E$95:E132)),"")</f>
        <v>SW-FW-UnitTest-CM3-ID-38</v>
      </c>
      <c r="E132" s="3" t="s">
        <v>330</v>
      </c>
      <c r="F132" s="3" t="s">
        <v>20</v>
      </c>
      <c r="G132" s="3" t="s">
        <v>551</v>
      </c>
      <c r="H132" s="14" t="s">
        <v>13</v>
      </c>
      <c r="I132" s="14" t="s">
        <v>13</v>
      </c>
      <c r="J132" s="14" t="s">
        <v>22</v>
      </c>
      <c r="K132" s="18" t="str">
        <f t="shared" si="2"/>
        <v>- 공유메모리 접근, PCM 출력 버퍼 데이터 채우기 구현</v>
      </c>
      <c r="L132" s="13" t="s">
        <v>331</v>
      </c>
      <c r="M132" s="17" t="s">
        <v>228</v>
      </c>
    </row>
    <row r="133" spans="2:13" ht="34" x14ac:dyDescent="0.45">
      <c r="B133" s="70"/>
      <c r="C133" s="71"/>
      <c r="D133" s="4" t="str">
        <f>IF(COUNTA(E133),_xlfn.CONCAT("SW-FW-UnitTest-CM3-ID-",COUNTA(E$95:E133)),"")</f>
        <v>SW-FW-UnitTest-CM3-ID-39</v>
      </c>
      <c r="E133" s="3" t="s">
        <v>138</v>
      </c>
      <c r="F133" s="3" t="s">
        <v>20</v>
      </c>
      <c r="G133" s="3" t="s">
        <v>552</v>
      </c>
      <c r="H133" s="14" t="s">
        <v>13</v>
      </c>
      <c r="I133" s="14" t="s">
        <v>13</v>
      </c>
      <c r="J133" s="14" t="s">
        <v>22</v>
      </c>
      <c r="K133" s="18" t="str">
        <f t="shared" si="2"/>
        <v>- 공유메모리 접근, PCM 출력 모드 읽기 구현</v>
      </c>
      <c r="L133" s="13" t="s">
        <v>332</v>
      </c>
      <c r="M133" s="17" t="s">
        <v>228</v>
      </c>
    </row>
    <row r="134" spans="2:13" ht="34" x14ac:dyDescent="0.45">
      <c r="B134" s="70"/>
      <c r="C134" s="71"/>
      <c r="D134" s="4" t="str">
        <f>IF(COUNTA(E134),_xlfn.CONCAT("SW-FW-UnitTest-CM3-ID-",COUNTA(E$95:E134)),"")</f>
        <v>SW-FW-UnitTest-CM3-ID-40</v>
      </c>
      <c r="E134" s="3" t="s">
        <v>139</v>
      </c>
      <c r="F134" s="3" t="s">
        <v>20</v>
      </c>
      <c r="G134" s="3" t="s">
        <v>553</v>
      </c>
      <c r="H134" s="14" t="s">
        <v>13</v>
      </c>
      <c r="I134" s="14" t="s">
        <v>13</v>
      </c>
      <c r="J134" s="14" t="s">
        <v>22</v>
      </c>
      <c r="K134" s="18" t="str">
        <f t="shared" si="2"/>
        <v>- 공유메모리 접근, 내부기 연결 검사용 PCM 출력 상태 읽기 구현</v>
      </c>
      <c r="L134" s="13" t="s">
        <v>332</v>
      </c>
      <c r="M134" s="17" t="s">
        <v>228</v>
      </c>
    </row>
    <row r="135" spans="2:13" ht="34" x14ac:dyDescent="0.45">
      <c r="B135" s="70"/>
      <c r="C135" s="71"/>
      <c r="D135" s="4" t="str">
        <f>IF(COUNTA(E135),_xlfn.CONCAT("SW-FW-UnitTest-CM3-ID-",COUNTA(E$95:E135)),"")</f>
        <v>SW-FW-UnitTest-CM3-ID-41</v>
      </c>
      <c r="E135" s="3" t="s">
        <v>140</v>
      </c>
      <c r="F135" s="3" t="s">
        <v>20</v>
      </c>
      <c r="G135" s="3" t="s">
        <v>554</v>
      </c>
      <c r="H135" s="14" t="s">
        <v>13</v>
      </c>
      <c r="I135" s="14" t="s">
        <v>13</v>
      </c>
      <c r="J135" s="14" t="s">
        <v>22</v>
      </c>
      <c r="K135" s="18" t="str">
        <f t="shared" si="2"/>
        <v>- 공유메모리 접근, 내부기 연결 검사용 PCM 출력 상태 지우기 구현</v>
      </c>
      <c r="L135" s="13" t="s">
        <v>333</v>
      </c>
      <c r="M135" s="17" t="s">
        <v>228</v>
      </c>
    </row>
    <row r="136" spans="2:13" ht="34" x14ac:dyDescent="0.45">
      <c r="B136" s="70"/>
      <c r="C136" s="71"/>
      <c r="D136" s="4" t="str">
        <f>IF(COUNTA(E136),_xlfn.CONCAT("SW-FW-UnitTest-CM3-ID-",COUNTA(E$95:E136)),"")</f>
        <v>SW-FW-UnitTest-CM3-ID-42</v>
      </c>
      <c r="E136" s="3" t="s">
        <v>141</v>
      </c>
      <c r="F136" s="3" t="s">
        <v>20</v>
      </c>
      <c r="G136" s="3" t="s">
        <v>555</v>
      </c>
      <c r="H136" s="14" t="s">
        <v>13</v>
      </c>
      <c r="I136" s="14" t="s">
        <v>13</v>
      </c>
      <c r="J136" s="14" t="s">
        <v>22</v>
      </c>
      <c r="K136" s="18" t="str">
        <f t="shared" si="2"/>
        <v>- 공유메모리 접근, 사용자 설정 값 로딩 여부 확인 구현</v>
      </c>
      <c r="L136" s="13" t="s">
        <v>332</v>
      </c>
      <c r="M136" s="17" t="s">
        <v>228</v>
      </c>
    </row>
    <row r="137" spans="2:13" ht="51" x14ac:dyDescent="0.45">
      <c r="B137" s="70"/>
      <c r="C137" s="71"/>
      <c r="D137" s="4" t="str">
        <f>IF(COUNTA(E137),_xlfn.CONCAT("SW-FW-UnitTest-CM3-ID-",COUNTA(E$95:E137)),"")</f>
        <v>SW-FW-UnitTest-CM3-ID-43</v>
      </c>
      <c r="E137" s="3" t="s">
        <v>142</v>
      </c>
      <c r="F137" s="3" t="s">
        <v>20</v>
      </c>
      <c r="G137" s="3" t="s">
        <v>556</v>
      </c>
      <c r="H137" s="14" t="s">
        <v>13</v>
      </c>
      <c r="I137" s="14" t="s">
        <v>13</v>
      </c>
      <c r="J137" s="14" t="s">
        <v>22</v>
      </c>
      <c r="K137" s="18" t="str">
        <f t="shared" si="2"/>
        <v>- 공유메모리 접근, 맵 변경 명령 전달 구현</v>
      </c>
      <c r="L137" s="13" t="s">
        <v>334</v>
      </c>
      <c r="M137" s="17" t="s">
        <v>228</v>
      </c>
    </row>
    <row r="138" spans="2:13" ht="34" x14ac:dyDescent="0.45">
      <c r="B138" s="70"/>
      <c r="C138" s="71"/>
      <c r="D138" s="4" t="str">
        <f>IF(COUNTA(E138),_xlfn.CONCAT("SW-FW-UnitTest-CM3-ID-",COUNTA(E$95:E138)),"")</f>
        <v>SW-FW-UnitTest-CM3-ID-44</v>
      </c>
      <c r="E138" s="3" t="s">
        <v>144</v>
      </c>
      <c r="F138" s="3" t="s">
        <v>20</v>
      </c>
      <c r="G138" s="3" t="s">
        <v>557</v>
      </c>
      <c r="H138" s="14" t="s">
        <v>13</v>
      </c>
      <c r="I138" s="14" t="s">
        <v>13</v>
      </c>
      <c r="J138" s="14" t="s">
        <v>22</v>
      </c>
      <c r="K138" s="18" t="str">
        <f t="shared" si="2"/>
        <v>- 공유메모리 접근, 맵 데이터 로딩여부 확인 구현</v>
      </c>
      <c r="L138" s="13" t="s">
        <v>332</v>
      </c>
      <c r="M138" s="17" t="s">
        <v>228</v>
      </c>
    </row>
    <row r="139" spans="2:13" ht="34" x14ac:dyDescent="0.45">
      <c r="B139" s="70"/>
      <c r="C139" s="71"/>
      <c r="D139" s="4" t="str">
        <f>IF(COUNTA(E139),_xlfn.CONCAT("SW-FW-UnitTest-CM3-ID-",COUNTA(E$95:E139)),"")</f>
        <v>SW-FW-UnitTest-CM3-ID-45</v>
      </c>
      <c r="E139" s="3" t="s">
        <v>145</v>
      </c>
      <c r="F139" s="3" t="s">
        <v>20</v>
      </c>
      <c r="G139" s="3" t="s">
        <v>558</v>
      </c>
      <c r="H139" s="14" t="s">
        <v>13</v>
      </c>
      <c r="I139" s="14" t="s">
        <v>13</v>
      </c>
      <c r="J139" s="14" t="s">
        <v>22</v>
      </c>
      <c r="K139" s="18" t="str">
        <f t="shared" si="2"/>
        <v>- 공유메모리 접근, 현재 맵 데이터 주소 반환 구현</v>
      </c>
      <c r="L139" s="13" t="s">
        <v>335</v>
      </c>
      <c r="M139" s="17" t="s">
        <v>228</v>
      </c>
    </row>
    <row r="140" spans="2:13" ht="34" x14ac:dyDescent="0.45">
      <c r="B140" s="70"/>
      <c r="C140" s="71"/>
      <c r="D140" s="4" t="str">
        <f>IF(COUNTA(E140),_xlfn.CONCAT("SW-FW-UnitTest-CM3-ID-",COUNTA(E$95:E140)),"")</f>
        <v>SW-FW-UnitTest-CM3-ID-46</v>
      </c>
      <c r="E140" s="3" t="s">
        <v>146</v>
      </c>
      <c r="F140" s="3" t="s">
        <v>20</v>
      </c>
      <c r="G140" s="3" t="s">
        <v>559</v>
      </c>
      <c r="H140" s="14" t="s">
        <v>13</v>
      </c>
      <c r="I140" s="14" t="s">
        <v>13</v>
      </c>
      <c r="J140" s="14" t="s">
        <v>22</v>
      </c>
      <c r="K140" s="18" t="str">
        <f t="shared" si="2"/>
        <v>- 공유메모리 접근, CM3 계산된 자극 파라미터 주소 반환 구현</v>
      </c>
      <c r="L140" s="13" t="s">
        <v>335</v>
      </c>
      <c r="M140" s="17" t="s">
        <v>228</v>
      </c>
    </row>
    <row r="141" spans="2:13" ht="34" x14ac:dyDescent="0.45">
      <c r="B141" s="70"/>
      <c r="C141" s="71"/>
      <c r="D141" s="4" t="str">
        <f>IF(COUNTA(E141),_xlfn.CONCAT("SW-FW-UnitTest-CM3-ID-",COUNTA(E$95:E141)),"")</f>
        <v>SW-FW-UnitTest-CM3-ID-47</v>
      </c>
      <c r="E141" s="3" t="s">
        <v>147</v>
      </c>
      <c r="F141" s="3" t="s">
        <v>20</v>
      </c>
      <c r="G141" s="3" t="s">
        <v>560</v>
      </c>
      <c r="H141" s="14" t="s">
        <v>13</v>
      </c>
      <c r="I141" s="14" t="s">
        <v>13</v>
      </c>
      <c r="J141" s="14" t="s">
        <v>22</v>
      </c>
      <c r="K141" s="18" t="str">
        <f t="shared" si="2"/>
        <v>- 공유메모리 접근, 계산된 자극 알림 크기 전달 구현</v>
      </c>
      <c r="L141" s="13" t="s">
        <v>336</v>
      </c>
      <c r="M141" s="17" t="s">
        <v>228</v>
      </c>
    </row>
    <row r="142" spans="2:13" ht="34" x14ac:dyDescent="0.45">
      <c r="B142" s="70"/>
      <c r="C142" s="71"/>
      <c r="D142" s="4" t="str">
        <f>IF(COUNTA(E142),_xlfn.CONCAT("SW-FW-UnitTest-CM3-ID-",COUNTA(E$95:E142)),"")</f>
        <v>SW-FW-UnitTest-CM3-ID-48</v>
      </c>
      <c r="E142" s="3" t="s">
        <v>148</v>
      </c>
      <c r="F142" s="3" t="s">
        <v>20</v>
      </c>
      <c r="G142" s="3" t="s">
        <v>561</v>
      </c>
      <c r="H142" s="14" t="s">
        <v>13</v>
      </c>
      <c r="I142" s="14" t="s">
        <v>13</v>
      </c>
      <c r="J142" s="14" t="s">
        <v>22</v>
      </c>
      <c r="K142" s="18" t="str">
        <f t="shared" si="2"/>
        <v>- 공유메모리 접근,자극 알림 신호 On/Off 전달 구현</v>
      </c>
      <c r="L142" s="13" t="s">
        <v>339</v>
      </c>
      <c r="M142" s="17" t="s">
        <v>228</v>
      </c>
    </row>
    <row r="143" spans="2:13" ht="34" x14ac:dyDescent="0.45">
      <c r="B143" s="70"/>
      <c r="C143" s="71"/>
      <c r="D143" s="4" t="str">
        <f>IF(COUNTA(E143),_xlfn.CONCAT("SW-FW-UnitTest-CM3-ID-",COUNTA(E$95:E143)),"")</f>
        <v>SW-FW-UnitTest-CM3-ID-49</v>
      </c>
      <c r="E143" s="3" t="s">
        <v>149</v>
      </c>
      <c r="F143" s="3" t="s">
        <v>20</v>
      </c>
      <c r="G143" s="3" t="s">
        <v>562</v>
      </c>
      <c r="H143" s="14" t="s">
        <v>13</v>
      </c>
      <c r="I143" s="14" t="s">
        <v>13</v>
      </c>
      <c r="J143" s="14" t="s">
        <v>22</v>
      </c>
      <c r="K143" s="18" t="str">
        <f t="shared" si="2"/>
        <v>- 공유메모리 접근, CM3 오디오 신호처리 파라미터 계산 완료 전달 구현</v>
      </c>
      <c r="L143" s="13" t="s">
        <v>340</v>
      </c>
      <c r="M143" s="17" t="s">
        <v>228</v>
      </c>
    </row>
    <row r="144" spans="2:13" ht="34" x14ac:dyDescent="0.45">
      <c r="B144" s="70"/>
      <c r="C144" s="71"/>
      <c r="D144" s="4" t="str">
        <f>IF(COUNTA(E144),_xlfn.CONCAT("SW-FW-UnitTest-CM3-ID-",COUNTA(E$95:E144)),"")</f>
        <v>SW-FW-UnitTest-CM3-ID-50</v>
      </c>
      <c r="E144" s="3" t="s">
        <v>150</v>
      </c>
      <c r="F144" s="3" t="s">
        <v>20</v>
      </c>
      <c r="G144" s="3" t="s">
        <v>563</v>
      </c>
      <c r="H144" s="14" t="s">
        <v>13</v>
      </c>
      <c r="I144" s="14" t="s">
        <v>13</v>
      </c>
      <c r="J144" s="14" t="s">
        <v>22</v>
      </c>
      <c r="K144" s="18" t="str">
        <f t="shared" si="2"/>
        <v>- 공유메모리 접근, 백텔 설정 값 전달 구현</v>
      </c>
      <c r="L144" s="13" t="s">
        <v>341</v>
      </c>
      <c r="M144" s="17" t="s">
        <v>228</v>
      </c>
    </row>
    <row r="145" spans="2:13" ht="34" x14ac:dyDescent="0.45">
      <c r="B145" s="70"/>
      <c r="C145" s="71"/>
      <c r="D145" s="4" t="str">
        <f>IF(COUNTA(E145),_xlfn.CONCAT("SW-FW-UnitTest-CM3-ID-",COUNTA(E$95:E145)),"")</f>
        <v>SW-FW-UnitTest-CM3-ID-51</v>
      </c>
      <c r="E145" s="3" t="s">
        <v>151</v>
      </c>
      <c r="F145" s="3" t="s">
        <v>20</v>
      </c>
      <c r="G145" s="3" t="s">
        <v>564</v>
      </c>
      <c r="H145" s="14" t="s">
        <v>13</v>
      </c>
      <c r="I145" s="14" t="s">
        <v>13</v>
      </c>
      <c r="J145" s="14" t="s">
        <v>22</v>
      </c>
      <c r="K145" s="18" t="str">
        <f t="shared" si="2"/>
        <v>- 공유메모리 접근, 현재 자극 출력 값 읽기 구현</v>
      </c>
      <c r="L145" s="13" t="s">
        <v>335</v>
      </c>
      <c r="M145" s="17" t="s">
        <v>228</v>
      </c>
    </row>
    <row r="146" spans="2:13" ht="34" x14ac:dyDescent="0.45">
      <c r="B146" s="70"/>
      <c r="C146" s="71"/>
      <c r="D146" s="4" t="str">
        <f>IF(COUNTA(E146),_xlfn.CONCAT("SW-FW-UnitTest-CM3-ID-",COUNTA(E$95:E146)),"")</f>
        <v>SW-FW-UnitTest-CM3-ID-52</v>
      </c>
      <c r="E146" s="3" t="s">
        <v>152</v>
      </c>
      <c r="F146" s="3" t="s">
        <v>20</v>
      </c>
      <c r="G146" s="3" t="s">
        <v>565</v>
      </c>
      <c r="H146" s="14" t="s">
        <v>13</v>
      </c>
      <c r="I146" s="14" t="s">
        <v>13</v>
      </c>
      <c r="J146" s="14" t="s">
        <v>22</v>
      </c>
      <c r="K146" s="18" t="str">
        <f t="shared" si="2"/>
        <v>- 공유메모리 접근, 오디오 입력(ADC) 최대값 읽기 구현</v>
      </c>
      <c r="L146" s="13" t="s">
        <v>332</v>
      </c>
      <c r="M146" s="17" t="s">
        <v>228</v>
      </c>
    </row>
    <row r="147" spans="2:13" ht="34" x14ac:dyDescent="0.45">
      <c r="B147" s="70"/>
      <c r="C147" s="71"/>
      <c r="D147" s="4" t="str">
        <f>IF(COUNTA(E147),_xlfn.CONCAT("SW-FW-UnitTest-CM3-ID-",COUNTA(E$95:E147)),"")</f>
        <v>SW-FW-UnitTest-CM3-ID-53</v>
      </c>
      <c r="E147" s="3" t="s">
        <v>153</v>
      </c>
      <c r="F147" s="3" t="s">
        <v>20</v>
      </c>
      <c r="G147" s="3" t="s">
        <v>566</v>
      </c>
      <c r="H147" s="14" t="s">
        <v>13</v>
      </c>
      <c r="I147" s="14" t="s">
        <v>13</v>
      </c>
      <c r="J147" s="14" t="s">
        <v>22</v>
      </c>
      <c r="K147" s="18" t="str">
        <f t="shared" si="2"/>
        <v>- 공유메모리 접근, 내부기 ID 읽기 구현</v>
      </c>
      <c r="L147" s="13" t="s">
        <v>342</v>
      </c>
      <c r="M147" s="17" t="s">
        <v>228</v>
      </c>
    </row>
    <row r="148" spans="2:13" ht="34" x14ac:dyDescent="0.45">
      <c r="B148" s="70"/>
      <c r="C148" s="71"/>
      <c r="D148" s="4" t="str">
        <f>IF(COUNTA(E148),_xlfn.CONCAT("SW-FW-UnitTest-CM3-ID-",COUNTA(E$95:E148)),"")</f>
        <v>SW-FW-UnitTest-CM3-ID-54</v>
      </c>
      <c r="E148" s="3" t="s">
        <v>154</v>
      </c>
      <c r="F148" s="3" t="s">
        <v>20</v>
      </c>
      <c r="G148" s="3" t="s">
        <v>567</v>
      </c>
      <c r="H148" s="14" t="s">
        <v>13</v>
      </c>
      <c r="I148" s="14" t="s">
        <v>13</v>
      </c>
      <c r="J148" s="14" t="s">
        <v>22</v>
      </c>
      <c r="K148" s="18" t="str">
        <f t="shared" si="2"/>
        <v>- 공유메모리 접근, 연결된 내부기 리콘용 접속 키 읽기 구현</v>
      </c>
      <c r="L148" s="13" t="s">
        <v>332</v>
      </c>
      <c r="M148" s="17" t="s">
        <v>228</v>
      </c>
    </row>
    <row r="149" spans="2:13" ht="34" x14ac:dyDescent="0.45">
      <c r="B149" s="70"/>
      <c r="C149" s="71"/>
      <c r="D149" s="4" t="str">
        <f>IF(COUNTA(E149),_xlfn.CONCAT("SW-FW-UnitTest-CM3-ID-",COUNTA(E$95:E149)),"")</f>
        <v>SW-FW-UnitTest-CM3-ID-55</v>
      </c>
      <c r="E149" s="3" t="s">
        <v>155</v>
      </c>
      <c r="F149" s="3" t="s">
        <v>20</v>
      </c>
      <c r="G149" s="3" t="s">
        <v>568</v>
      </c>
      <c r="H149" s="14" t="s">
        <v>13</v>
      </c>
      <c r="I149" s="14" t="s">
        <v>13</v>
      </c>
      <c r="J149" s="14" t="s">
        <v>22</v>
      </c>
      <c r="K149" s="18" t="str">
        <f t="shared" si="2"/>
        <v>- 공유메모리 접근, 연결된 내부기 번호 전달 구현</v>
      </c>
      <c r="L149" s="13" t="s">
        <v>345</v>
      </c>
      <c r="M149" s="17" t="s">
        <v>228</v>
      </c>
    </row>
    <row r="150" spans="2:13" ht="34" x14ac:dyDescent="0.45">
      <c r="B150" s="70"/>
      <c r="C150" s="71"/>
      <c r="D150" s="4" t="str">
        <f>IF(COUNTA(E150),_xlfn.CONCAT("SW-FW-UnitTest-CM3-ID-",COUNTA(E$95:E150)),"")</f>
        <v>SW-FW-UnitTest-CM3-ID-56</v>
      </c>
      <c r="E150" s="3" t="s">
        <v>343</v>
      </c>
      <c r="F150" s="3" t="s">
        <v>20</v>
      </c>
      <c r="G150" s="3" t="s">
        <v>569</v>
      </c>
      <c r="H150" s="14" t="s">
        <v>13</v>
      </c>
      <c r="I150" s="14" t="s">
        <v>13</v>
      </c>
      <c r="J150" s="14" t="s">
        <v>22</v>
      </c>
      <c r="K150" s="18" t="str">
        <f t="shared" si="2"/>
        <v>- 공유메모리 접근, 연결된 내부기 번호 읽기 구현</v>
      </c>
      <c r="L150" s="13" t="s">
        <v>344</v>
      </c>
      <c r="M150" s="17" t="s">
        <v>228</v>
      </c>
    </row>
    <row r="151" spans="2:13" ht="34" x14ac:dyDescent="0.45">
      <c r="B151" s="70"/>
      <c r="C151" s="71"/>
      <c r="D151" s="4" t="str">
        <f>IF(COUNTA(E151),_xlfn.CONCAT("SW-FW-UnitTest-CM3-ID-",COUNTA(E$95:E151)),"")</f>
        <v>SW-FW-UnitTest-CM3-ID-57</v>
      </c>
      <c r="E151" s="3" t="s">
        <v>156</v>
      </c>
      <c r="F151" s="3" t="s">
        <v>20</v>
      </c>
      <c r="G151" s="3" t="s">
        <v>570</v>
      </c>
      <c r="H151" s="14" t="s">
        <v>13</v>
      </c>
      <c r="I151" s="14" t="s">
        <v>13</v>
      </c>
      <c r="J151" s="14" t="s">
        <v>22</v>
      </c>
      <c r="K151" s="18" t="str">
        <f t="shared" si="2"/>
        <v>- 공유메모리 접근, 연결된 내부기 사용자 이름 읽기 구현</v>
      </c>
      <c r="L151" s="13" t="s">
        <v>346</v>
      </c>
      <c r="M151" s="17" t="s">
        <v>228</v>
      </c>
    </row>
    <row r="152" spans="2:13" ht="34" x14ac:dyDescent="0.45">
      <c r="B152" s="70"/>
      <c r="C152" s="71"/>
      <c r="D152" s="4" t="str">
        <f>IF(COUNTA(E152),_xlfn.CONCAT("SW-FW-UnitTest-CM3-ID-",COUNTA(E$95:E152)),"")</f>
        <v>SW-FW-UnitTest-CM3-ID-58</v>
      </c>
      <c r="E152" s="3" t="s">
        <v>157</v>
      </c>
      <c r="F152" s="3" t="s">
        <v>20</v>
      </c>
      <c r="G152" s="3" t="s">
        <v>571</v>
      </c>
      <c r="H152" s="14" t="s">
        <v>13</v>
      </c>
      <c r="I152" s="14" t="s">
        <v>13</v>
      </c>
      <c r="J152" s="14" t="s">
        <v>22</v>
      </c>
      <c r="K152" s="18" t="str">
        <f t="shared" si="2"/>
        <v>- 공유메모리 접근, 연결된 내부기 수술위치 읽기 구현</v>
      </c>
      <c r="L152" s="13" t="s">
        <v>346</v>
      </c>
      <c r="M152" s="17" t="s">
        <v>228</v>
      </c>
    </row>
    <row r="153" spans="2:13" ht="34" x14ac:dyDescent="0.45">
      <c r="B153" s="70"/>
      <c r="C153" s="71"/>
      <c r="D153" s="4" t="str">
        <f>IF(COUNTA(E153),_xlfn.CONCAT("SW-FW-UnitTest-CM3-ID-",COUNTA(E$95:E153)),"")</f>
        <v>SW-FW-UnitTest-CM3-ID-59</v>
      </c>
      <c r="E153" s="3" t="s">
        <v>158</v>
      </c>
      <c r="F153" s="3" t="s">
        <v>20</v>
      </c>
      <c r="G153" s="3" t="s">
        <v>572</v>
      </c>
      <c r="H153" s="14" t="s">
        <v>13</v>
      </c>
      <c r="I153" s="14" t="s">
        <v>13</v>
      </c>
      <c r="J153" s="14" t="s">
        <v>22</v>
      </c>
      <c r="K153" s="18" t="str">
        <f t="shared" si="2"/>
        <v>- 공유메모리 접근, 연결된 내부기의 사용가능한 맵 개수 읽기 구현</v>
      </c>
      <c r="L153" s="13" t="s">
        <v>346</v>
      </c>
      <c r="M153" s="17" t="s">
        <v>228</v>
      </c>
    </row>
    <row r="154" spans="2:13" ht="34" x14ac:dyDescent="0.45">
      <c r="B154" s="70"/>
      <c r="C154" s="71"/>
      <c r="D154" s="4" t="str">
        <f>IF(COUNTA(E154),_xlfn.CONCAT("SW-FW-UnitTest-CM3-ID-",COUNTA(E$95:E154)),"")</f>
        <v>SW-FW-UnitTest-CM3-ID-60</v>
      </c>
      <c r="E154" s="3" t="s">
        <v>159</v>
      </c>
      <c r="F154" s="3" t="s">
        <v>20</v>
      </c>
      <c r="G154" s="3" t="s">
        <v>573</v>
      </c>
      <c r="H154" s="14" t="s">
        <v>13</v>
      </c>
      <c r="I154" s="14" t="s">
        <v>13</v>
      </c>
      <c r="J154" s="14" t="s">
        <v>22</v>
      </c>
      <c r="K154" s="18" t="str">
        <f t="shared" si="2"/>
        <v>- 공유메모리 접근, 연결된 내부기의 사용 가능한 맵 인덱스 읽기 구현</v>
      </c>
      <c r="L154" s="13" t="s">
        <v>347</v>
      </c>
      <c r="M154" s="17" t="s">
        <v>228</v>
      </c>
    </row>
    <row r="155" spans="2:13" ht="34" x14ac:dyDescent="0.45">
      <c r="B155" s="70"/>
      <c r="C155" s="71"/>
      <c r="D155" s="4" t="str">
        <f>IF(COUNTA(E155),_xlfn.CONCAT("SW-FW-UnitTest-CM3-ID-",COUNTA(E$95:E155)),"")</f>
        <v>SW-FW-UnitTest-CM3-ID-61</v>
      </c>
      <c r="E155" s="3" t="s">
        <v>160</v>
      </c>
      <c r="F155" s="3" t="s">
        <v>20</v>
      </c>
      <c r="G155" s="3" t="s">
        <v>574</v>
      </c>
      <c r="H155" s="14" t="s">
        <v>13</v>
      </c>
      <c r="I155" s="14" t="s">
        <v>13</v>
      </c>
      <c r="J155" s="14" t="s">
        <v>22</v>
      </c>
      <c r="K155" s="18" t="str">
        <f t="shared" si="2"/>
        <v>- 공유메모리 접근, 연결된 내부기의 맵 스탬프 읽기 구현</v>
      </c>
      <c r="L155" s="13" t="s">
        <v>347</v>
      </c>
      <c r="M155" s="17" t="s">
        <v>228</v>
      </c>
    </row>
    <row r="156" spans="2:13" ht="34" x14ac:dyDescent="0.45">
      <c r="B156" s="70"/>
      <c r="C156" s="71"/>
      <c r="D156" s="4" t="str">
        <f>IF(COUNTA(E156),_xlfn.CONCAT("SW-FW-UnitTest-CM3-ID-",COUNTA(E$95:E156)),"")</f>
        <v>SW-FW-UnitTest-CM3-ID-62</v>
      </c>
      <c r="E156" s="3" t="s">
        <v>161</v>
      </c>
      <c r="F156" s="3" t="s">
        <v>20</v>
      </c>
      <c r="G156" s="3" t="s">
        <v>575</v>
      </c>
      <c r="H156" s="14" t="s">
        <v>13</v>
      </c>
      <c r="I156" s="14" t="s">
        <v>13</v>
      </c>
      <c r="J156" s="14" t="s">
        <v>22</v>
      </c>
      <c r="K156" s="18" t="str">
        <f t="shared" si="2"/>
        <v>- 공유메모리 접근, 연결된 내부기 맵 생성일자 읽기 구현</v>
      </c>
      <c r="L156" s="13" t="s">
        <v>347</v>
      </c>
      <c r="M156" s="17" t="s">
        <v>228</v>
      </c>
    </row>
    <row r="157" spans="2:13" ht="68" x14ac:dyDescent="0.45">
      <c r="B157" s="70"/>
      <c r="C157" s="71"/>
      <c r="D157" s="4" t="str">
        <f>IF(COUNTA(E157),_xlfn.CONCAT("SW-FW-UnitTest-CM3-ID-",COUNTA(E$95:E157)),"")</f>
        <v>SW-FW-UnitTest-CM3-ID-63</v>
      </c>
      <c r="E157" s="3" t="s">
        <v>163</v>
      </c>
      <c r="F157" s="3" t="s">
        <v>20</v>
      </c>
      <c r="G157" s="3" t="s">
        <v>576</v>
      </c>
      <c r="H157" s="14" t="s">
        <v>13</v>
      </c>
      <c r="I157" s="14" t="s">
        <v>13</v>
      </c>
      <c r="J157" s="14" t="s">
        <v>22</v>
      </c>
      <c r="K157" s="18" t="str">
        <f t="shared" si="2"/>
        <v>- 공유메모리 접근, 맵 번호 변경 구현</v>
      </c>
      <c r="L157" s="13" t="s">
        <v>348</v>
      </c>
      <c r="M157" s="17" t="s">
        <v>228</v>
      </c>
    </row>
    <row r="158" spans="2:13" ht="34" x14ac:dyDescent="0.45">
      <c r="B158" s="70"/>
      <c r="C158" s="71"/>
      <c r="D158" s="4" t="str">
        <f>IF(COUNTA(E158),_xlfn.CONCAT("SW-FW-UnitTest-CM3-ID-",COUNTA(E$95:E158)),"")</f>
        <v>SW-FW-UnitTest-CM3-ID-64</v>
      </c>
      <c r="E158" s="3" t="s">
        <v>162</v>
      </c>
      <c r="F158" s="3" t="s">
        <v>20</v>
      </c>
      <c r="G158" s="3" t="s">
        <v>577</v>
      </c>
      <c r="H158" s="14" t="s">
        <v>13</v>
      </c>
      <c r="I158" s="14" t="s">
        <v>13</v>
      </c>
      <c r="J158" s="14" t="s">
        <v>22</v>
      </c>
      <c r="K158" s="18" t="str">
        <f t="shared" si="2"/>
        <v>- 공유메모리 접근, 맵 번호 읽기 구현</v>
      </c>
      <c r="L158" s="13" t="s">
        <v>346</v>
      </c>
      <c r="M158" s="17" t="s">
        <v>228</v>
      </c>
    </row>
    <row r="159" spans="2:13" ht="34" x14ac:dyDescent="0.45">
      <c r="B159" s="70"/>
      <c r="C159" s="71"/>
      <c r="D159" s="4" t="str">
        <f>IF(COUNTA(E159),_xlfn.CONCAT("SW-FW-UnitTest-CM3-ID-",COUNTA(E$95:E159)),"")</f>
        <v>SW-FW-UnitTest-CM3-ID-65</v>
      </c>
      <c r="E159" s="3" t="s">
        <v>164</v>
      </c>
      <c r="F159" s="3" t="s">
        <v>20</v>
      </c>
      <c r="G159" s="3" t="s">
        <v>578</v>
      </c>
      <c r="H159" s="14" t="s">
        <v>13</v>
      </c>
      <c r="I159" s="14" t="s">
        <v>13</v>
      </c>
      <c r="J159" s="14" t="s">
        <v>22</v>
      </c>
      <c r="K159" s="18" t="str">
        <f t="shared" si="2"/>
        <v>- 공유메모리 접근, 자극 볼륨 변경 구현</v>
      </c>
      <c r="L159" s="13" t="s">
        <v>349</v>
      </c>
      <c r="M159" s="17" t="s">
        <v>228</v>
      </c>
    </row>
    <row r="160" spans="2:13" ht="34" x14ac:dyDescent="0.45">
      <c r="B160" s="70"/>
      <c r="C160" s="71"/>
      <c r="D160" s="4" t="str">
        <f>IF(COUNTA(E160),_xlfn.CONCAT("SW-FW-UnitTest-CM3-ID-",COUNTA(E$95:E160)),"")</f>
        <v>SW-FW-UnitTest-CM3-ID-66</v>
      </c>
      <c r="E160" s="3" t="s">
        <v>165</v>
      </c>
      <c r="F160" s="3" t="s">
        <v>20</v>
      </c>
      <c r="G160" s="3" t="s">
        <v>579</v>
      </c>
      <c r="H160" s="14" t="s">
        <v>13</v>
      </c>
      <c r="I160" s="14" t="s">
        <v>13</v>
      </c>
      <c r="J160" s="14" t="s">
        <v>22</v>
      </c>
      <c r="K160" s="18" t="str">
        <f t="shared" si="2"/>
        <v>- 공유메모리 접근, 자극 볼륨 읽기 구현</v>
      </c>
      <c r="L160" s="13" t="s">
        <v>346</v>
      </c>
      <c r="M160" s="17" t="s">
        <v>228</v>
      </c>
    </row>
    <row r="161" spans="2:13" ht="34" x14ac:dyDescent="0.45">
      <c r="B161" s="70"/>
      <c r="C161" s="71"/>
      <c r="D161" s="4" t="str">
        <f>IF(COUNTA(E161),_xlfn.CONCAT("SW-FW-UnitTest-CM3-ID-",COUNTA(E$95:E161)),"")</f>
        <v>SW-FW-UnitTest-CM3-ID-67</v>
      </c>
      <c r="E161" s="3" t="s">
        <v>166</v>
      </c>
      <c r="F161" s="3" t="s">
        <v>20</v>
      </c>
      <c r="G161" s="3" t="s">
        <v>580</v>
      </c>
      <c r="H161" s="14" t="s">
        <v>13</v>
      </c>
      <c r="I161" s="14" t="s">
        <v>13</v>
      </c>
      <c r="J161" s="14" t="s">
        <v>22</v>
      </c>
      <c r="K161" s="18" t="str">
        <f t="shared" si="2"/>
        <v>- 공유메모리 접근, 오디오 볼륨 변경 구현</v>
      </c>
      <c r="L161" s="13" t="s">
        <v>350</v>
      </c>
      <c r="M161" s="17" t="s">
        <v>228</v>
      </c>
    </row>
    <row r="162" spans="2:13" ht="34" x14ac:dyDescent="0.45">
      <c r="B162" s="70"/>
      <c r="C162" s="71"/>
      <c r="D162" s="4" t="str">
        <f>IF(COUNTA(E162),_xlfn.CONCAT("SW-FW-UnitTest-CM3-ID-",COUNTA(E$95:E162)),"")</f>
        <v>SW-FW-UnitTest-CM3-ID-68</v>
      </c>
      <c r="E162" s="3" t="s">
        <v>167</v>
      </c>
      <c r="F162" s="3" t="s">
        <v>20</v>
      </c>
      <c r="G162" s="3" t="s">
        <v>581</v>
      </c>
      <c r="H162" s="14" t="s">
        <v>13</v>
      </c>
      <c r="I162" s="14" t="s">
        <v>13</v>
      </c>
      <c r="J162" s="14" t="s">
        <v>22</v>
      </c>
      <c r="K162" s="18" t="str">
        <f t="shared" ref="K162:K166" si="3">_xlfn.CONCAT("- ", E162, " 구현")</f>
        <v>- 공유메모리 접근, 오디오 볼륨 읽기 구현</v>
      </c>
      <c r="L162" s="13" t="s">
        <v>346</v>
      </c>
      <c r="M162" s="17" t="s">
        <v>228</v>
      </c>
    </row>
    <row r="163" spans="2:13" ht="34" x14ac:dyDescent="0.45">
      <c r="B163" s="70"/>
      <c r="C163" s="71"/>
      <c r="D163" s="4" t="str">
        <f>IF(COUNTA(E163),_xlfn.CONCAT("SW-FW-UnitTest-CM3-ID-",COUNTA(E$95:E163)),"")</f>
        <v>SW-FW-UnitTest-CM3-ID-69</v>
      </c>
      <c r="E163" s="3" t="s">
        <v>168</v>
      </c>
      <c r="F163" s="3" t="s">
        <v>20</v>
      </c>
      <c r="G163" s="3" t="s">
        <v>582</v>
      </c>
      <c r="H163" s="14" t="s">
        <v>13</v>
      </c>
      <c r="I163" s="14" t="s">
        <v>13</v>
      </c>
      <c r="J163" s="14" t="s">
        <v>22</v>
      </c>
      <c r="K163" s="18" t="str">
        <f t="shared" si="3"/>
        <v>- 공유메모리 접근, LED 알림 설정 변경 구현</v>
      </c>
      <c r="L163" s="13" t="s">
        <v>351</v>
      </c>
      <c r="M163" s="17" t="s">
        <v>228</v>
      </c>
    </row>
    <row r="164" spans="2:13" ht="34" x14ac:dyDescent="0.45">
      <c r="B164" s="70"/>
      <c r="C164" s="71"/>
      <c r="D164" s="4" t="str">
        <f>IF(COUNTA(E164),_xlfn.CONCAT("SW-FW-UnitTest-CM3-ID-",COUNTA(E$95:E164)),"")</f>
        <v>SW-FW-UnitTest-CM3-ID-70</v>
      </c>
      <c r="E164" s="3" t="s">
        <v>169</v>
      </c>
      <c r="F164" s="3" t="s">
        <v>20</v>
      </c>
      <c r="G164" s="3" t="s">
        <v>583</v>
      </c>
      <c r="H164" s="14" t="s">
        <v>13</v>
      </c>
      <c r="I164" s="14" t="s">
        <v>13</v>
      </c>
      <c r="J164" s="14" t="s">
        <v>22</v>
      </c>
      <c r="K164" s="18" t="str">
        <f t="shared" si="3"/>
        <v>- 공유메모리 접근, LED 알림 설정 읽기 구현</v>
      </c>
      <c r="L164" s="13" t="s">
        <v>346</v>
      </c>
      <c r="M164" s="17" t="s">
        <v>228</v>
      </c>
    </row>
    <row r="165" spans="2:13" ht="34" x14ac:dyDescent="0.45">
      <c r="B165" s="70"/>
      <c r="C165" s="71"/>
      <c r="D165" s="4" t="str">
        <f>IF(COUNTA(E165),_xlfn.CONCAT("SW-FW-UnitTest-CM3-ID-",COUNTA(E$95:E165)),"")</f>
        <v>SW-FW-UnitTest-CM3-ID-71</v>
      </c>
      <c r="E165" s="3" t="s">
        <v>171</v>
      </c>
      <c r="F165" s="3" t="s">
        <v>20</v>
      </c>
      <c r="G165" s="3" t="s">
        <v>584</v>
      </c>
      <c r="H165" s="14" t="s">
        <v>13</v>
      </c>
      <c r="I165" s="14" t="s">
        <v>13</v>
      </c>
      <c r="J165" s="14" t="s">
        <v>22</v>
      </c>
      <c r="K165" s="18" t="str">
        <f t="shared" si="3"/>
        <v>- 공유메모리 접근, 자극 알림 설정 변경 구현</v>
      </c>
      <c r="L165" s="13" t="s">
        <v>352</v>
      </c>
      <c r="M165" s="17" t="s">
        <v>228</v>
      </c>
    </row>
    <row r="166" spans="2:13" ht="34" x14ac:dyDescent="0.45">
      <c r="B166" s="70"/>
      <c r="C166" s="71"/>
      <c r="D166" s="4" t="str">
        <f>IF(COUNTA(E166),_xlfn.CONCAT("SW-FW-UnitTest-CM3-ID-",COUNTA(E$95:E166)),"")</f>
        <v>SW-FW-UnitTest-CM3-ID-72</v>
      </c>
      <c r="E166" s="3" t="s">
        <v>170</v>
      </c>
      <c r="F166" s="3" t="s">
        <v>20</v>
      </c>
      <c r="G166" s="3" t="s">
        <v>585</v>
      </c>
      <c r="H166" s="14" t="s">
        <v>13</v>
      </c>
      <c r="I166" s="14" t="s">
        <v>13</v>
      </c>
      <c r="J166" s="14" t="s">
        <v>22</v>
      </c>
      <c r="K166" s="18" t="str">
        <f t="shared" si="3"/>
        <v>- 공유메모리 접근, 자극 알림 설정 읽기 구현</v>
      </c>
      <c r="L166" s="13" t="s">
        <v>346</v>
      </c>
      <c r="M166" s="17" t="s">
        <v>228</v>
      </c>
    </row>
    <row r="167" spans="2:13" ht="51" x14ac:dyDescent="0.45">
      <c r="B167" s="70"/>
      <c r="C167" s="71"/>
      <c r="D167" s="4" t="str">
        <f>IF(COUNTA(E167),_xlfn.CONCAT("SW-FW-UnitTest-CM3-ID-",COUNTA(E$95:E167)),"")</f>
        <v>SW-FW-UnitTest-CM3-ID-73</v>
      </c>
      <c r="E167" s="3" t="s">
        <v>353</v>
      </c>
      <c r="F167" s="3" t="s">
        <v>20</v>
      </c>
      <c r="G167" s="3" t="s">
        <v>586</v>
      </c>
      <c r="H167" s="14" t="s">
        <v>13</v>
      </c>
      <c r="I167" s="14" t="s">
        <v>13</v>
      </c>
      <c r="J167" s="14" t="s">
        <v>22</v>
      </c>
      <c r="K167" s="18" t="str">
        <f>_xlfn.CONCAT("- ", E167, " 구현")</f>
        <v>- I2C 데이터 쓰기 시작 구현</v>
      </c>
      <c r="L167" s="13" t="s">
        <v>355</v>
      </c>
      <c r="M167" s="17" t="s">
        <v>228</v>
      </c>
    </row>
    <row r="168" spans="2:13" ht="51" x14ac:dyDescent="0.45">
      <c r="B168" s="70"/>
      <c r="C168" s="71"/>
      <c r="D168" s="4" t="str">
        <f>IF(COUNTA(E168),_xlfn.CONCAT("SW-FW-UnitTest-CM3-ID-",COUNTA(E$95:E168)),"")</f>
        <v>SW-FW-UnitTest-CM3-ID-74</v>
      </c>
      <c r="E168" s="3" t="s">
        <v>354</v>
      </c>
      <c r="F168" s="3" t="s">
        <v>20</v>
      </c>
      <c r="G168" s="3" t="s">
        <v>587</v>
      </c>
      <c r="H168" s="14" t="s">
        <v>13</v>
      </c>
      <c r="I168" s="14" t="s">
        <v>13</v>
      </c>
      <c r="J168" s="14" t="s">
        <v>22</v>
      </c>
      <c r="K168" s="18" t="str">
        <f t="shared" ref="K168:K173" si="4">_xlfn.CONCAT("- ", E168, " 구현")</f>
        <v>- I2C 데이터 읽기 시작 구현</v>
      </c>
      <c r="L168" s="13" t="s">
        <v>356</v>
      </c>
      <c r="M168" s="17" t="s">
        <v>228</v>
      </c>
    </row>
    <row r="169" spans="2:13" ht="34" x14ac:dyDescent="0.45">
      <c r="B169" s="70"/>
      <c r="C169" s="71"/>
      <c r="D169" s="4" t="str">
        <f>IF(COUNTA(E169),_xlfn.CONCAT("SW-FW-UnitTest-CM3-ID-",COUNTA(E$95:E169)),"")</f>
        <v>SW-FW-UnitTest-CM3-ID-75</v>
      </c>
      <c r="E169" s="3" t="s">
        <v>172</v>
      </c>
      <c r="F169" s="3" t="s">
        <v>20</v>
      </c>
      <c r="G169" s="3" t="s">
        <v>588</v>
      </c>
      <c r="H169" s="14" t="s">
        <v>13</v>
      </c>
      <c r="I169" s="14" t="s">
        <v>13</v>
      </c>
      <c r="J169" s="14" t="s">
        <v>22</v>
      </c>
      <c r="K169" s="18" t="str">
        <f t="shared" si="4"/>
        <v>- I2C 드라이버 상태 읽기 구현</v>
      </c>
      <c r="L169" s="13" t="s">
        <v>357</v>
      </c>
      <c r="M169" s="17" t="s">
        <v>228</v>
      </c>
    </row>
    <row r="170" spans="2:13" ht="34" x14ac:dyDescent="0.45">
      <c r="B170" s="70"/>
      <c r="C170" s="71"/>
      <c r="D170" s="4" t="str">
        <f>IF(COUNTA(E170),_xlfn.CONCAT("SW-FW-UnitTest-CM3-ID-",COUNTA(E$95:E170)),"")</f>
        <v>SW-FW-UnitTest-CM3-ID-76</v>
      </c>
      <c r="E170" s="3" t="s">
        <v>218</v>
      </c>
      <c r="F170" s="3" t="s">
        <v>20</v>
      </c>
      <c r="G170" s="3" t="s">
        <v>589</v>
      </c>
      <c r="H170" s="14" t="s">
        <v>13</v>
      </c>
      <c r="I170" s="14" t="s">
        <v>13</v>
      </c>
      <c r="J170" s="14" t="s">
        <v>22</v>
      </c>
      <c r="K170" s="18" t="str">
        <f t="shared" si="4"/>
        <v>- SPI 송신 데이터 쓰기 구현</v>
      </c>
      <c r="L170" s="13" t="s">
        <v>358</v>
      </c>
      <c r="M170" s="17" t="s">
        <v>228</v>
      </c>
    </row>
    <row r="171" spans="2:13" ht="34" x14ac:dyDescent="0.45">
      <c r="B171" s="70"/>
      <c r="C171" s="71"/>
      <c r="D171" s="4" t="str">
        <f>IF(COUNTA(E171),_xlfn.CONCAT("SW-FW-UnitTest-CM3-ID-",COUNTA(E$95:E171)),"")</f>
        <v>SW-FW-UnitTest-CM3-ID-77</v>
      </c>
      <c r="E171" s="3" t="s">
        <v>185</v>
      </c>
      <c r="F171" s="3" t="s">
        <v>20</v>
      </c>
      <c r="G171" s="3" t="s">
        <v>590</v>
      </c>
      <c r="H171" s="14" t="s">
        <v>13</v>
      </c>
      <c r="I171" s="14" t="s">
        <v>13</v>
      </c>
      <c r="J171" s="14" t="s">
        <v>22</v>
      </c>
      <c r="K171" s="18" t="str">
        <f t="shared" si="4"/>
        <v>- SPI 송신 데이터 준비 완료 전달 구현</v>
      </c>
      <c r="L171" s="13" t="s">
        <v>360</v>
      </c>
      <c r="M171" s="17" t="s">
        <v>228</v>
      </c>
    </row>
    <row r="172" spans="2:13" ht="34" x14ac:dyDescent="0.45">
      <c r="B172" s="70"/>
      <c r="C172" s="71"/>
      <c r="D172" s="4" t="str">
        <f>IF(COUNTA(E172),_xlfn.CONCAT("SW-FW-UnitTest-CM3-ID-",COUNTA(E$95:E172)),"")</f>
        <v>SW-FW-UnitTest-CM3-ID-78</v>
      </c>
      <c r="E172" s="3" t="s">
        <v>186</v>
      </c>
      <c r="F172" s="3" t="s">
        <v>20</v>
      </c>
      <c r="G172" s="3" t="s">
        <v>591</v>
      </c>
      <c r="H172" s="14" t="s">
        <v>13</v>
      </c>
      <c r="I172" s="14" t="s">
        <v>13</v>
      </c>
      <c r="J172" s="14" t="s">
        <v>22</v>
      </c>
      <c r="K172" s="18" t="str">
        <f t="shared" si="4"/>
        <v>- SPI 송신 완료 전달 구현</v>
      </c>
      <c r="L172" s="13" t="s">
        <v>359</v>
      </c>
      <c r="M172" s="17" t="s">
        <v>228</v>
      </c>
    </row>
    <row r="173" spans="2:13" ht="51" x14ac:dyDescent="0.45">
      <c r="B173" s="70"/>
      <c r="C173" s="15" t="s">
        <v>225</v>
      </c>
      <c r="D173" s="4" t="str">
        <f>IF(COUNTA(E173),_xlfn.CONCAT("SW-FW-UnitTest-CM3-ID-",COUNTA(E$95:E173)),"")</f>
        <v>SW-FW-UnitTest-CM3-ID-79</v>
      </c>
      <c r="E173" s="3" t="s">
        <v>361</v>
      </c>
      <c r="F173" s="3" t="s">
        <v>20</v>
      </c>
      <c r="G173" s="3" t="s">
        <v>592</v>
      </c>
      <c r="H173" s="14" t="s">
        <v>13</v>
      </c>
      <c r="I173" s="14" t="s">
        <v>13</v>
      </c>
      <c r="J173" s="14" t="s">
        <v>22</v>
      </c>
      <c r="K173" s="18" t="str">
        <f t="shared" si="4"/>
        <v>- 자극 DAC 선택 및 C ,T 레벨 계산  구현</v>
      </c>
      <c r="L173" s="13" t="s">
        <v>362</v>
      </c>
      <c r="M173" s="17" t="s">
        <v>228</v>
      </c>
    </row>
    <row r="174" spans="2:13" ht="34" x14ac:dyDescent="0.45">
      <c r="B174" s="70"/>
      <c r="C174" s="71" t="s">
        <v>100</v>
      </c>
      <c r="D174" s="4" t="str">
        <f>IF(COUNTA(E174),_xlfn.CONCAT("SW-FW-UnitTest-CM3-ID-",COUNTA(E$95:E174)),"")</f>
        <v>SW-FW-UnitTest-CM3-ID-80</v>
      </c>
      <c r="E174" s="3" t="s">
        <v>176</v>
      </c>
      <c r="F174" s="3" t="s">
        <v>20</v>
      </c>
      <c r="G174" s="3" t="s">
        <v>593</v>
      </c>
      <c r="H174" s="14" t="s">
        <v>13</v>
      </c>
      <c r="I174" s="14" t="s">
        <v>13</v>
      </c>
      <c r="J174" s="14" t="s">
        <v>22</v>
      </c>
      <c r="K174" s="18" t="str">
        <f>_xlfn.CONCAT("- ", E174, " 구현")</f>
        <v>- I2C 사용 가능 업데이트  구현</v>
      </c>
      <c r="L174" s="13" t="s">
        <v>363</v>
      </c>
      <c r="M174" s="17" t="s">
        <v>228</v>
      </c>
    </row>
    <row r="175" spans="2:13" ht="34" x14ac:dyDescent="0.45">
      <c r="B175" s="70"/>
      <c r="C175" s="71"/>
      <c r="D175" s="4" t="str">
        <f>IF(COUNTA(E175),_xlfn.CONCAT("SW-FW-UnitTest-CM3-ID-",COUNTA(E$95:E175)),"")</f>
        <v>SW-FW-UnitTest-CM3-ID-81</v>
      </c>
      <c r="E175" s="3" t="s">
        <v>178</v>
      </c>
      <c r="F175" s="3" t="s">
        <v>20</v>
      </c>
      <c r="G175" s="3" t="s">
        <v>594</v>
      </c>
      <c r="H175" s="14" t="s">
        <v>13</v>
      </c>
      <c r="I175" s="14" t="s">
        <v>13</v>
      </c>
      <c r="J175" s="14" t="s">
        <v>22</v>
      </c>
      <c r="K175" s="18" t="str">
        <f t="shared" ref="K175:K211" si="5">_xlfn.CONCAT("- ", E175, " 구현")</f>
        <v>- I2C 사용 불가능 업데이트 구현</v>
      </c>
      <c r="L175" s="13" t="s">
        <v>364</v>
      </c>
      <c r="M175" s="17" t="s">
        <v>228</v>
      </c>
    </row>
    <row r="176" spans="2:13" ht="34" x14ac:dyDescent="0.45">
      <c r="B176" s="70"/>
      <c r="C176" s="71"/>
      <c r="D176" s="4" t="str">
        <f>IF(COUNTA(E176),_xlfn.CONCAT("SW-FW-UnitTest-CM3-ID-",COUNTA(E$95:E176)),"")</f>
        <v>SW-FW-UnitTest-CM3-ID-82</v>
      </c>
      <c r="E176" s="3" t="s">
        <v>179</v>
      </c>
      <c r="F176" s="3" t="s">
        <v>20</v>
      </c>
      <c r="G176" s="3" t="s">
        <v>595</v>
      </c>
      <c r="H176" s="14" t="s">
        <v>13</v>
      </c>
      <c r="I176" s="14" t="s">
        <v>13</v>
      </c>
      <c r="J176" s="14" t="s">
        <v>22</v>
      </c>
      <c r="K176" s="18" t="str">
        <f t="shared" si="5"/>
        <v>- I2C 사용 가능 상태 읽기 구현</v>
      </c>
      <c r="L176" s="13" t="s">
        <v>365</v>
      </c>
      <c r="M176" s="17" t="s">
        <v>228</v>
      </c>
    </row>
    <row r="177" spans="2:13" ht="51" x14ac:dyDescent="0.45">
      <c r="B177" s="70"/>
      <c r="C177" s="71"/>
      <c r="D177" s="4" t="str">
        <f>IF(COUNTA(E177),_xlfn.CONCAT("SW-FW-UnitTest-CM3-ID-",COUNTA(E$95:E177)),"")</f>
        <v>SW-FW-UnitTest-CM3-ID-83</v>
      </c>
      <c r="E177" s="3" t="s">
        <v>180</v>
      </c>
      <c r="F177" s="3" t="s">
        <v>20</v>
      </c>
      <c r="G177" s="3" t="s">
        <v>596</v>
      </c>
      <c r="H177" s="14" t="s">
        <v>13</v>
      </c>
      <c r="I177" s="14" t="s">
        <v>13</v>
      </c>
      <c r="J177" s="14" t="s">
        <v>22</v>
      </c>
      <c r="K177" s="18" t="str">
        <f t="shared" si="5"/>
        <v>- PMIC 레지스터 쓰기 구현</v>
      </c>
      <c r="L177" s="13" t="s">
        <v>368</v>
      </c>
      <c r="M177" s="17" t="s">
        <v>228</v>
      </c>
    </row>
    <row r="178" spans="2:13" ht="51" x14ac:dyDescent="0.45">
      <c r="B178" s="70"/>
      <c r="C178" s="71"/>
      <c r="D178" s="4" t="str">
        <f>IF(COUNTA(E178),_xlfn.CONCAT("SW-FW-UnitTest-CM3-ID-",COUNTA(E$95:E178)),"")</f>
        <v>SW-FW-UnitTest-CM3-ID-84</v>
      </c>
      <c r="E178" s="3" t="s">
        <v>181</v>
      </c>
      <c r="F178" s="3" t="s">
        <v>20</v>
      </c>
      <c r="G178" s="3" t="s">
        <v>597</v>
      </c>
      <c r="H178" s="14" t="s">
        <v>13</v>
      </c>
      <c r="I178" s="14" t="s">
        <v>13</v>
      </c>
      <c r="J178" s="14" t="s">
        <v>22</v>
      </c>
      <c r="K178" s="18" t="str">
        <f t="shared" si="5"/>
        <v>- PMIC 레지스터 읽기 구현</v>
      </c>
      <c r="L178" s="13" t="s">
        <v>369</v>
      </c>
      <c r="M178" s="17" t="s">
        <v>228</v>
      </c>
    </row>
    <row r="179" spans="2:13" ht="51" x14ac:dyDescent="0.45">
      <c r="B179" s="70"/>
      <c r="C179" s="71"/>
      <c r="D179" s="4" t="str">
        <f>IF(COUNTA(E179),_xlfn.CONCAT("SW-FW-UnitTest-CM3-ID-",COUNTA(E$95:E179)),"")</f>
        <v>SW-FW-UnitTest-CM3-ID-85</v>
      </c>
      <c r="E179" s="3" t="s">
        <v>182</v>
      </c>
      <c r="F179" s="3" t="s">
        <v>20</v>
      </c>
      <c r="G179" s="3" t="s">
        <v>598</v>
      </c>
      <c r="H179" s="14" t="s">
        <v>13</v>
      </c>
      <c r="I179" s="14" t="s">
        <v>13</v>
      </c>
      <c r="J179" s="14" t="s">
        <v>22</v>
      </c>
      <c r="K179" s="18" t="str">
        <f t="shared" si="5"/>
        <v>- FPGA 레지스터 쓰기 구현</v>
      </c>
      <c r="L179" s="13" t="s">
        <v>366</v>
      </c>
      <c r="M179" s="17" t="s">
        <v>228</v>
      </c>
    </row>
    <row r="180" spans="2:13" ht="51" x14ac:dyDescent="0.45">
      <c r="B180" s="70"/>
      <c r="C180" s="71"/>
      <c r="D180" s="4" t="str">
        <f>IF(COUNTA(E180),_xlfn.CONCAT("SW-FW-UnitTest-CM3-ID-",COUNTA(E$95:E180)),"")</f>
        <v>SW-FW-UnitTest-CM3-ID-86</v>
      </c>
      <c r="E180" s="3" t="s">
        <v>183</v>
      </c>
      <c r="F180" s="3" t="s">
        <v>20</v>
      </c>
      <c r="G180" s="3" t="s">
        <v>599</v>
      </c>
      <c r="H180" s="14" t="s">
        <v>13</v>
      </c>
      <c r="I180" s="14" t="s">
        <v>13</v>
      </c>
      <c r="J180" s="14" t="s">
        <v>22</v>
      </c>
      <c r="K180" s="18" t="str">
        <f t="shared" si="5"/>
        <v>- FPGA 레지스터 읽기 구현</v>
      </c>
      <c r="L180" s="13" t="s">
        <v>367</v>
      </c>
      <c r="M180" s="17" t="s">
        <v>228</v>
      </c>
    </row>
    <row r="181" spans="2:13" ht="51" x14ac:dyDescent="0.45">
      <c r="B181" s="70"/>
      <c r="C181" s="71"/>
      <c r="D181" s="4" t="str">
        <f>IF(COUNTA(E181),_xlfn.CONCAT("SW-FW-UnitTest-CM3-ID-",COUNTA(E$95:E181)),"")</f>
        <v>SW-FW-UnitTest-CM3-ID-87</v>
      </c>
      <c r="E181" s="3" t="s">
        <v>184</v>
      </c>
      <c r="F181" s="3" t="s">
        <v>20</v>
      </c>
      <c r="G181" s="3" t="s">
        <v>600</v>
      </c>
      <c r="H181" s="14" t="s">
        <v>13</v>
      </c>
      <c r="I181" s="14" t="s">
        <v>13</v>
      </c>
      <c r="J181" s="14" t="s">
        <v>22</v>
      </c>
      <c r="K181" s="18" t="str">
        <f t="shared" si="5"/>
        <v>- FPGA FIFO 읽기 구현</v>
      </c>
      <c r="L181" s="13" t="s">
        <v>370</v>
      </c>
      <c r="M181" s="17" t="s">
        <v>228</v>
      </c>
    </row>
    <row r="182" spans="2:13" ht="68" x14ac:dyDescent="0.45">
      <c r="B182" s="70"/>
      <c r="C182" s="71"/>
      <c r="D182" s="4" t="str">
        <f>IF(COUNTA(E182),_xlfn.CONCAT("SW-FW-UnitTest-CM3-ID-",COUNTA(E$95:E182)),"")</f>
        <v>SW-FW-UnitTest-CM3-ID-88</v>
      </c>
      <c r="E182" s="3" t="s">
        <v>188</v>
      </c>
      <c r="F182" s="3" t="s">
        <v>20</v>
      </c>
      <c r="G182" s="3" t="s">
        <v>601</v>
      </c>
      <c r="H182" s="14" t="s">
        <v>13</v>
      </c>
      <c r="I182" s="14" t="s">
        <v>13</v>
      </c>
      <c r="J182" s="14" t="s">
        <v>22</v>
      </c>
      <c r="K182" s="18" t="str">
        <f t="shared" si="5"/>
        <v>- 내부기 제어 상태 변경 구현</v>
      </c>
      <c r="L182" s="13" t="s">
        <v>371</v>
      </c>
      <c r="M182" s="17" t="s">
        <v>228</v>
      </c>
    </row>
    <row r="183" spans="2:13" ht="34" x14ac:dyDescent="0.45">
      <c r="B183" s="70"/>
      <c r="C183" s="71"/>
      <c r="D183" s="4" t="str">
        <f>IF(COUNTA(E183),_xlfn.CONCAT("SW-FW-UnitTest-CM3-ID-",COUNTA(E$95:E183)),"")</f>
        <v>SW-FW-UnitTest-CM3-ID-89</v>
      </c>
      <c r="E183" s="3" t="s">
        <v>187</v>
      </c>
      <c r="F183" s="3" t="s">
        <v>20</v>
      </c>
      <c r="G183" s="3" t="s">
        <v>602</v>
      </c>
      <c r="H183" s="14" t="s">
        <v>13</v>
      </c>
      <c r="I183" s="14" t="s">
        <v>13</v>
      </c>
      <c r="J183" s="14" t="s">
        <v>22</v>
      </c>
      <c r="K183" s="18" t="str">
        <f t="shared" si="5"/>
        <v>- 내부기 제어 상태 변경 플래그 삭제 구현</v>
      </c>
      <c r="L183" s="13" t="s">
        <v>372</v>
      </c>
      <c r="M183" s="17" t="s">
        <v>228</v>
      </c>
    </row>
    <row r="184" spans="2:13" ht="51" x14ac:dyDescent="0.45">
      <c r="B184" s="70"/>
      <c r="C184" s="71"/>
      <c r="D184" s="4" t="str">
        <f>IF(COUNTA(E184),_xlfn.CONCAT("SW-FW-UnitTest-CM3-ID-",COUNTA(E$95:E184)),"")</f>
        <v>SW-FW-UnitTest-CM3-ID-90</v>
      </c>
      <c r="E184" s="3" t="s">
        <v>189</v>
      </c>
      <c r="F184" s="3" t="s">
        <v>20</v>
      </c>
      <c r="G184" s="3" t="s">
        <v>603</v>
      </c>
      <c r="H184" s="14" t="s">
        <v>13</v>
      </c>
      <c r="I184" s="14" t="s">
        <v>13</v>
      </c>
      <c r="J184" s="14" t="s">
        <v>22</v>
      </c>
      <c r="K184" s="18" t="str">
        <f t="shared" si="5"/>
        <v>- Tx PMIC 초기화 구현</v>
      </c>
      <c r="L184" s="13" t="s">
        <v>373</v>
      </c>
      <c r="M184" s="17" t="s">
        <v>228</v>
      </c>
    </row>
    <row r="185" spans="2:13" ht="51" x14ac:dyDescent="0.45">
      <c r="B185" s="70"/>
      <c r="C185" s="71"/>
      <c r="D185" s="4" t="str">
        <f>IF(COUNTA(E185),_xlfn.CONCAT("SW-FW-UnitTest-CM3-ID-",COUNTA(E$95:E185)),"")</f>
        <v>SW-FW-UnitTest-CM3-ID-91</v>
      </c>
      <c r="E185" s="3" t="s">
        <v>190</v>
      </c>
      <c r="F185" s="3" t="s">
        <v>20</v>
      </c>
      <c r="G185" s="3" t="s">
        <v>604</v>
      </c>
      <c r="H185" s="14" t="s">
        <v>13</v>
      </c>
      <c r="I185" s="14" t="s">
        <v>13</v>
      </c>
      <c r="J185" s="14" t="s">
        <v>22</v>
      </c>
      <c r="K185" s="18" t="str">
        <f t="shared" si="5"/>
        <v>- FPGA 초기화 구현</v>
      </c>
      <c r="L185" s="13" t="s">
        <v>374</v>
      </c>
      <c r="M185" s="17" t="s">
        <v>228</v>
      </c>
    </row>
    <row r="186" spans="2:13" ht="51" x14ac:dyDescent="0.45">
      <c r="B186" s="70"/>
      <c r="C186" s="71"/>
      <c r="D186" s="4" t="str">
        <f>IF(COUNTA(E186),_xlfn.CONCAT("SW-FW-UnitTest-CM3-ID-",COUNTA(E$95:E186)),"")</f>
        <v>SW-FW-UnitTest-CM3-ID-92</v>
      </c>
      <c r="E186" s="3" t="s">
        <v>191</v>
      </c>
      <c r="F186" s="3" t="s">
        <v>20</v>
      </c>
      <c r="G186" s="3" t="s">
        <v>605</v>
      </c>
      <c r="H186" s="14" t="s">
        <v>13</v>
      </c>
      <c r="I186" s="14" t="s">
        <v>13</v>
      </c>
      <c r="J186" s="14" t="s">
        <v>22</v>
      </c>
      <c r="K186" s="18" t="str">
        <f t="shared" si="5"/>
        <v>- 내부기 초기화 구현</v>
      </c>
      <c r="L186" s="13" t="s">
        <v>375</v>
      </c>
      <c r="M186" s="17" t="s">
        <v>228</v>
      </c>
    </row>
    <row r="187" spans="2:13" ht="51" x14ac:dyDescent="0.45">
      <c r="B187" s="70"/>
      <c r="C187" s="71"/>
      <c r="D187" s="4" t="str">
        <f>IF(COUNTA(E187),_xlfn.CONCAT("SW-FW-UnitTest-CM3-ID-",COUNTA(E$95:E187)),"")</f>
        <v>SW-FW-UnitTest-CM3-ID-93</v>
      </c>
      <c r="E187" s="3" t="s">
        <v>192</v>
      </c>
      <c r="F187" s="3" t="s">
        <v>20</v>
      </c>
      <c r="G187" s="3" t="s">
        <v>606</v>
      </c>
      <c r="H187" s="14" t="s">
        <v>13</v>
      </c>
      <c r="I187" s="14" t="s">
        <v>13</v>
      </c>
      <c r="J187" s="14" t="s">
        <v>22</v>
      </c>
      <c r="K187" s="18" t="str">
        <f t="shared" si="5"/>
        <v>- 내부기 통신 통로 확보 구현</v>
      </c>
      <c r="L187" s="13" t="s">
        <v>376</v>
      </c>
      <c r="M187" s="17" t="s">
        <v>228</v>
      </c>
    </row>
    <row r="188" spans="2:13" ht="51" x14ac:dyDescent="0.45">
      <c r="B188" s="70"/>
      <c r="C188" s="71"/>
      <c r="D188" s="4" t="str">
        <f>IF(COUNTA(E188),_xlfn.CONCAT("SW-FW-UnitTest-CM3-ID-",COUNTA(E$95:E188)),"")</f>
        <v>SW-FW-UnitTest-CM3-ID-94</v>
      </c>
      <c r="E188" s="3" t="s">
        <v>193</v>
      </c>
      <c r="F188" s="3" t="s">
        <v>20</v>
      </c>
      <c r="G188" s="3" t="s">
        <v>607</v>
      </c>
      <c r="H188" s="14" t="s">
        <v>13</v>
      </c>
      <c r="I188" s="14" t="s">
        <v>13</v>
      </c>
      <c r="J188" s="14" t="s">
        <v>22</v>
      </c>
      <c r="K188" s="18" t="str">
        <f t="shared" si="5"/>
        <v>- 내부기 자극용 10v 활성화 구현</v>
      </c>
      <c r="L188" s="13" t="s">
        <v>377</v>
      </c>
      <c r="M188" s="17" t="s">
        <v>228</v>
      </c>
    </row>
    <row r="189" spans="2:13" ht="85" x14ac:dyDescent="0.45">
      <c r="B189" s="70"/>
      <c r="C189" s="71"/>
      <c r="D189" s="4" t="str">
        <f>IF(COUNTA(E189),_xlfn.CONCAT("SW-FW-UnitTest-CM3-ID-",COUNTA(E$95:E189)),"")</f>
        <v>SW-FW-UnitTest-CM3-ID-95</v>
      </c>
      <c r="E189" s="3" t="s">
        <v>378</v>
      </c>
      <c r="F189" s="3" t="s">
        <v>20</v>
      </c>
      <c r="G189" s="3" t="s">
        <v>608</v>
      </c>
      <c r="H189" s="14" t="s">
        <v>13</v>
      </c>
      <c r="I189" s="14" t="s">
        <v>13</v>
      </c>
      <c r="J189" s="14" t="s">
        <v>22</v>
      </c>
      <c r="K189" s="18" t="str">
        <f t="shared" si="5"/>
        <v>- 내부기 자극 출력 제어  구현</v>
      </c>
      <c r="L189" s="13" t="s">
        <v>379</v>
      </c>
      <c r="M189" s="17" t="s">
        <v>228</v>
      </c>
    </row>
    <row r="190" spans="2:13" ht="51" x14ac:dyDescent="0.45">
      <c r="B190" s="70"/>
      <c r="C190" s="71"/>
      <c r="D190" s="4" t="str">
        <f>IF(COUNTA(E190),_xlfn.CONCAT("SW-FW-UnitTest-CM3-ID-",COUNTA(E$95:E190)),"")</f>
        <v>SW-FW-UnitTest-CM3-ID-96</v>
      </c>
      <c r="E190" s="3" t="s">
        <v>204</v>
      </c>
      <c r="F190" s="3" t="s">
        <v>20</v>
      </c>
      <c r="G190" s="3" t="s">
        <v>609</v>
      </c>
      <c r="H190" s="14" t="s">
        <v>13</v>
      </c>
      <c r="I190" s="14" t="s">
        <v>13</v>
      </c>
      <c r="J190" s="14" t="s">
        <v>22</v>
      </c>
      <c r="K190" s="18" t="str">
        <f t="shared" si="5"/>
        <v>- 내부기 자극 파라미터 설정 구현</v>
      </c>
      <c r="L190" s="13" t="s">
        <v>380</v>
      </c>
      <c r="M190" s="17" t="s">
        <v>228</v>
      </c>
    </row>
    <row r="191" spans="2:13" ht="51" x14ac:dyDescent="0.45">
      <c r="B191" s="70"/>
      <c r="C191" s="71"/>
      <c r="D191" s="4" t="str">
        <f>IF(COUNTA(E191),_xlfn.CONCAT("SW-FW-UnitTest-CM3-ID-",COUNTA(E$95:E191)),"")</f>
        <v>SW-FW-UnitTest-CM3-ID-97</v>
      </c>
      <c r="E191" s="3" t="s">
        <v>203</v>
      </c>
      <c r="F191" s="3" t="s">
        <v>20</v>
      </c>
      <c r="G191" s="3" t="s">
        <v>610</v>
      </c>
      <c r="H191" s="14" t="s">
        <v>13</v>
      </c>
      <c r="I191" s="14" t="s">
        <v>13</v>
      </c>
      <c r="J191" s="14" t="s">
        <v>22</v>
      </c>
      <c r="K191" s="18" t="str">
        <f t="shared" si="5"/>
        <v>- 내부기 연결 확인(실시간 자극)  구현</v>
      </c>
      <c r="L191" s="13" t="s">
        <v>381</v>
      </c>
      <c r="M191" s="17" t="s">
        <v>228</v>
      </c>
    </row>
    <row r="192" spans="2:13" ht="68" x14ac:dyDescent="0.45">
      <c r="B192" s="70"/>
      <c r="C192" s="71"/>
      <c r="D192" s="4" t="str">
        <f>IF(COUNTA(E192),_xlfn.CONCAT("SW-FW-UnitTest-CM3-ID-",COUNTA(E$95:E192)),"")</f>
        <v>SW-FW-UnitTest-CM3-ID-98</v>
      </c>
      <c r="E192" s="3" t="s">
        <v>202</v>
      </c>
      <c r="F192" s="3" t="s">
        <v>20</v>
      </c>
      <c r="G192" s="3" t="s">
        <v>611</v>
      </c>
      <c r="H192" s="14" t="s">
        <v>13</v>
      </c>
      <c r="I192" s="14" t="s">
        <v>13</v>
      </c>
      <c r="J192" s="14" t="s">
        <v>22</v>
      </c>
      <c r="K192" s="18" t="str">
        <f t="shared" si="5"/>
        <v>- 내부기 연결 확인(매핑 연결)  구현</v>
      </c>
      <c r="L192" s="13" t="s">
        <v>382</v>
      </c>
      <c r="M192" s="17" t="s">
        <v>228</v>
      </c>
    </row>
    <row r="193" spans="2:13" ht="34" x14ac:dyDescent="0.45">
      <c r="B193" s="70"/>
      <c r="C193" s="71" t="s">
        <v>207</v>
      </c>
      <c r="D193" s="4" t="str">
        <f>IF(COUNTA(E193),_xlfn.CONCAT("SW-FW-UnitTest-CM3-ID-",COUNTA(E$95:E193)),"")</f>
        <v>SW-FW-UnitTest-CM3-ID-99</v>
      </c>
      <c r="E193" s="3" t="s">
        <v>195</v>
      </c>
      <c r="F193" s="3" t="s">
        <v>20</v>
      </c>
      <c r="G193" s="3" t="s">
        <v>612</v>
      </c>
      <c r="H193" s="14" t="s">
        <v>13</v>
      </c>
      <c r="I193" s="14" t="s">
        <v>13</v>
      </c>
      <c r="J193" s="14" t="s">
        <v>22</v>
      </c>
      <c r="K193" s="18" t="str">
        <f t="shared" si="5"/>
        <v>- BLE 설정 수신 데이터 인출 구현</v>
      </c>
      <c r="L193" s="13" t="s">
        <v>383</v>
      </c>
      <c r="M193" s="17" t="s">
        <v>228</v>
      </c>
    </row>
    <row r="194" spans="2:13" ht="51" x14ac:dyDescent="0.45">
      <c r="B194" s="70"/>
      <c r="C194" s="71"/>
      <c r="D194" s="4" t="str">
        <f>IF(COUNTA(E194),_xlfn.CONCAT("SW-FW-UnitTest-CM3-ID-",COUNTA(E$95:E194)),"")</f>
        <v>SW-FW-UnitTest-CM3-ID-100</v>
      </c>
      <c r="E194" s="3" t="s">
        <v>206</v>
      </c>
      <c r="F194" s="3" t="s">
        <v>20</v>
      </c>
      <c r="G194" s="3" t="s">
        <v>613</v>
      </c>
      <c r="H194" s="14" t="s">
        <v>13</v>
      </c>
      <c r="I194" s="14" t="s">
        <v>13</v>
      </c>
      <c r="J194" s="14" t="s">
        <v>22</v>
      </c>
      <c r="K194" s="18" t="str">
        <f t="shared" si="5"/>
        <v>- 리모콘 수신 데이터 인출 구현</v>
      </c>
      <c r="L194" s="13" t="s">
        <v>384</v>
      </c>
      <c r="M194" s="17" t="s">
        <v>228</v>
      </c>
    </row>
    <row r="195" spans="2:13" ht="68" x14ac:dyDescent="0.45">
      <c r="B195" s="70"/>
      <c r="C195" s="71"/>
      <c r="D195" s="4" t="str">
        <f>IF(COUNTA(E195),_xlfn.CONCAT("SW-FW-UnitTest-CM3-ID-",COUNTA(E$95:E195)),"")</f>
        <v>SW-FW-UnitTest-CM3-ID-101</v>
      </c>
      <c r="E195" s="3" t="s">
        <v>196</v>
      </c>
      <c r="F195" s="3" t="s">
        <v>20</v>
      </c>
      <c r="G195" s="3" t="s">
        <v>614</v>
      </c>
      <c r="H195" s="14" t="s">
        <v>13</v>
      </c>
      <c r="I195" s="14" t="s">
        <v>13</v>
      </c>
      <c r="J195" s="14" t="s">
        <v>22</v>
      </c>
      <c r="K195" s="18" t="str">
        <f t="shared" si="5"/>
        <v>- 매핑 수신 데이터 인출 구현</v>
      </c>
      <c r="L195" s="13" t="s">
        <v>385</v>
      </c>
      <c r="M195" s="17" t="s">
        <v>228</v>
      </c>
    </row>
    <row r="196" spans="2:13" ht="34" x14ac:dyDescent="0.45">
      <c r="B196" s="70"/>
      <c r="C196" s="71"/>
      <c r="D196" s="4" t="str">
        <f>IF(COUNTA(E196),_xlfn.CONCAT("SW-FW-UnitTest-CM3-ID-",COUNTA(E$95:E196)),"")</f>
        <v>SW-FW-UnitTest-CM3-ID-102</v>
      </c>
      <c r="E196" s="3" t="s">
        <v>197</v>
      </c>
      <c r="F196" s="3" t="s">
        <v>20</v>
      </c>
      <c r="G196" s="3" t="s">
        <v>615</v>
      </c>
      <c r="H196" s="14" t="s">
        <v>13</v>
      </c>
      <c r="I196" s="14" t="s">
        <v>13</v>
      </c>
      <c r="J196" s="14" t="s">
        <v>22</v>
      </c>
      <c r="K196" s="18" t="str">
        <f t="shared" si="5"/>
        <v>- 블루투스 광고 이름 설정  구현</v>
      </c>
      <c r="L196" s="13" t="s">
        <v>386</v>
      </c>
      <c r="M196" s="17" t="s">
        <v>228</v>
      </c>
    </row>
    <row r="197" spans="2:13" ht="51" x14ac:dyDescent="0.45">
      <c r="B197" s="70"/>
      <c r="C197" s="71"/>
      <c r="D197" s="4" t="str">
        <f>IF(COUNTA(E197),_xlfn.CONCAT("SW-FW-UnitTest-CM3-ID-",COUNTA(E$95:E197)),"")</f>
        <v>SW-FW-UnitTest-CM3-ID-103</v>
      </c>
      <c r="E197" s="3" t="s">
        <v>198</v>
      </c>
      <c r="F197" s="3" t="s">
        <v>20</v>
      </c>
      <c r="G197" s="3" t="s">
        <v>616</v>
      </c>
      <c r="H197" s="14" t="s">
        <v>13</v>
      </c>
      <c r="I197" s="14" t="s">
        <v>13</v>
      </c>
      <c r="J197" s="14" t="s">
        <v>22</v>
      </c>
      <c r="K197" s="18" t="str">
        <f t="shared" si="5"/>
        <v>- 리모콘 제어  구현</v>
      </c>
      <c r="L197" s="13" t="s">
        <v>388</v>
      </c>
      <c r="M197" s="17" t="s">
        <v>228</v>
      </c>
    </row>
    <row r="198" spans="2:13" ht="34" x14ac:dyDescent="0.45">
      <c r="B198" s="70"/>
      <c r="C198" s="71"/>
      <c r="D198" s="4" t="str">
        <f>IF(COUNTA(E198),_xlfn.CONCAT("SW-FW-UnitTest-CM3-ID-",COUNTA(E$95:E198)),"")</f>
        <v>SW-FW-UnitTest-CM3-ID-104</v>
      </c>
      <c r="E198" s="3" t="s">
        <v>387</v>
      </c>
      <c r="F198" s="3" t="s">
        <v>20</v>
      </c>
      <c r="G198" s="3" t="s">
        <v>617</v>
      </c>
      <c r="H198" s="14" t="s">
        <v>13</v>
      </c>
      <c r="I198" s="14" t="s">
        <v>13</v>
      </c>
      <c r="J198" s="14" t="s">
        <v>22</v>
      </c>
      <c r="K198" s="18" t="str">
        <f t="shared" si="5"/>
        <v>- 리모콘 명령 수행 완료 구현</v>
      </c>
      <c r="L198" s="13" t="s">
        <v>389</v>
      </c>
      <c r="M198" s="17" t="s">
        <v>228</v>
      </c>
    </row>
    <row r="199" spans="2:13" ht="51" x14ac:dyDescent="0.45">
      <c r="B199" s="70"/>
      <c r="C199" s="71"/>
      <c r="D199" s="4" t="str">
        <f>IF(COUNTA(E199),_xlfn.CONCAT("SW-FW-UnitTest-CM3-ID-",COUNTA(E$95:E199)),"")</f>
        <v>SW-FW-UnitTest-CM3-ID-105</v>
      </c>
      <c r="E199" s="3" t="s">
        <v>200</v>
      </c>
      <c r="F199" s="3" t="s">
        <v>20</v>
      </c>
      <c r="G199" s="3" t="s">
        <v>618</v>
      </c>
      <c r="H199" s="14" t="s">
        <v>13</v>
      </c>
      <c r="I199" s="14" t="s">
        <v>13</v>
      </c>
      <c r="J199" s="14" t="s">
        <v>22</v>
      </c>
      <c r="K199" s="18" t="str">
        <f t="shared" si="5"/>
        <v>- 특정 자극 출력 구현</v>
      </c>
      <c r="L199" s="13" t="s">
        <v>390</v>
      </c>
      <c r="M199" s="17" t="s">
        <v>228</v>
      </c>
    </row>
    <row r="200" spans="2:13" ht="34" x14ac:dyDescent="0.45">
      <c r="B200" s="70"/>
      <c r="C200" s="71"/>
      <c r="D200" s="4" t="str">
        <f>IF(COUNTA(E200),_xlfn.CONCAT("SW-FW-UnitTest-CM3-ID-",COUNTA(E$95:E200)),"")</f>
        <v>SW-FW-UnitTest-CM3-ID-106</v>
      </c>
      <c r="E200" s="3" t="s">
        <v>199</v>
      </c>
      <c r="F200" s="3" t="s">
        <v>20</v>
      </c>
      <c r="G200" s="3" t="s">
        <v>619</v>
      </c>
      <c r="H200" s="14" t="s">
        <v>13</v>
      </c>
      <c r="I200" s="14" t="s">
        <v>13</v>
      </c>
      <c r="J200" s="14" t="s">
        <v>22</v>
      </c>
      <c r="K200" s="18" t="str">
        <f t="shared" si="5"/>
        <v>- 실시간 자극 출력  구현</v>
      </c>
      <c r="L200" s="13" t="s">
        <v>391</v>
      </c>
      <c r="M200" s="17" t="s">
        <v>228</v>
      </c>
    </row>
    <row r="201" spans="2:13" ht="34" x14ac:dyDescent="0.45">
      <c r="B201" s="70"/>
      <c r="C201" s="71"/>
      <c r="D201" s="4" t="str">
        <f>IF(COUNTA(E201),_xlfn.CONCAT("SW-FW-UnitTest-CM3-ID-",COUNTA(E$95:E201)),"")</f>
        <v>SW-FW-UnitTest-CM3-ID-107</v>
      </c>
      <c r="E201" s="3" t="s">
        <v>205</v>
      </c>
      <c r="F201" s="3" t="s">
        <v>20</v>
      </c>
      <c r="G201" s="3" t="s">
        <v>620</v>
      </c>
      <c r="H201" s="14" t="s">
        <v>13</v>
      </c>
      <c r="I201" s="14" t="s">
        <v>13</v>
      </c>
      <c r="J201" s="14" t="s">
        <v>22</v>
      </c>
      <c r="K201" s="18" t="str">
        <f t="shared" si="5"/>
        <v>- 매핑 명령 수행 완료 구현</v>
      </c>
      <c r="L201" s="13" t="s">
        <v>392</v>
      </c>
      <c r="M201" s="17" t="s">
        <v>228</v>
      </c>
    </row>
    <row r="202" spans="2:13" ht="34" x14ac:dyDescent="0.45">
      <c r="B202" s="72" t="s">
        <v>223</v>
      </c>
      <c r="C202" s="71" t="s">
        <v>102</v>
      </c>
      <c r="D202" s="4" t="str">
        <f>IF(COUNTA(E202),_xlfn.CONCAT("SW-FW-UnitTest-NRF-ID-",COUNTA(E$202:E202)),"")</f>
        <v>SW-FW-UnitTest-NRF-ID-1</v>
      </c>
      <c r="E202" s="3" t="s">
        <v>208</v>
      </c>
      <c r="F202" s="3" t="s">
        <v>20</v>
      </c>
      <c r="G202" s="3" t="s">
        <v>621</v>
      </c>
      <c r="H202" s="14" t="s">
        <v>13</v>
      </c>
      <c r="I202" s="14" t="s">
        <v>13</v>
      </c>
      <c r="J202" s="14" t="s">
        <v>22</v>
      </c>
      <c r="K202" s="18" t="str">
        <f t="shared" si="5"/>
        <v>- 클럭 설정 구현</v>
      </c>
      <c r="L202" s="13" t="s">
        <v>393</v>
      </c>
      <c r="M202" s="17" t="s">
        <v>228</v>
      </c>
    </row>
    <row r="203" spans="2:13" ht="34" x14ac:dyDescent="0.45">
      <c r="B203" s="73"/>
      <c r="C203" s="70"/>
      <c r="D203" s="4" t="str">
        <f>IF(COUNTA(E203),_xlfn.CONCAT("SW-FW-UnitTest-NRF-ID-",COUNTA(E$202:E203)),"")</f>
        <v>SW-FW-UnitTest-NRF-ID-2</v>
      </c>
      <c r="E203" s="3" t="s">
        <v>209</v>
      </c>
      <c r="F203" s="3" t="s">
        <v>20</v>
      </c>
      <c r="G203" s="3" t="s">
        <v>622</v>
      </c>
      <c r="H203" s="14" t="s">
        <v>13</v>
      </c>
      <c r="I203" s="14" t="s">
        <v>13</v>
      </c>
      <c r="J203" s="14" t="s">
        <v>22</v>
      </c>
      <c r="K203" s="18" t="str">
        <f t="shared" si="5"/>
        <v>- 전원 제어용 핀 설정 구현</v>
      </c>
      <c r="L203" s="13" t="s">
        <v>395</v>
      </c>
      <c r="M203" s="17" t="s">
        <v>228</v>
      </c>
    </row>
    <row r="204" spans="2:13" ht="85" x14ac:dyDescent="0.45">
      <c r="B204" s="73"/>
      <c r="C204" s="70"/>
      <c r="D204" s="4" t="str">
        <f>IF(COUNTA(E204),_xlfn.CONCAT("SW-FW-UnitTest-NRF-ID-",COUNTA(E$202:E204)),"")</f>
        <v>SW-FW-UnitTest-NRF-ID-3</v>
      </c>
      <c r="E204" s="3" t="s">
        <v>111</v>
      </c>
      <c r="F204" s="3" t="s">
        <v>20</v>
      </c>
      <c r="G204" s="3" t="s">
        <v>623</v>
      </c>
      <c r="H204" s="14" t="s">
        <v>13</v>
      </c>
      <c r="I204" s="14" t="s">
        <v>13</v>
      </c>
      <c r="J204" s="14" t="s">
        <v>22</v>
      </c>
      <c r="K204" s="18" t="str">
        <f t="shared" si="5"/>
        <v>- SPI 설정 구현</v>
      </c>
      <c r="L204" s="13" t="s">
        <v>394</v>
      </c>
      <c r="M204" s="17" t="s">
        <v>228</v>
      </c>
    </row>
    <row r="205" spans="2:13" ht="34" x14ac:dyDescent="0.45">
      <c r="B205" s="73"/>
      <c r="C205" s="70"/>
      <c r="D205" s="4" t="str">
        <f>IF(COUNTA(E205),_xlfn.CONCAT("SW-FW-UnitTest-NRF-ID-",COUNTA(E$202:E205)),"")</f>
        <v>SW-FW-UnitTest-NRF-ID-4</v>
      </c>
      <c r="E205" s="3" t="s">
        <v>397</v>
      </c>
      <c r="F205" s="3" t="s">
        <v>20</v>
      </c>
      <c r="G205" s="3" t="s">
        <v>624</v>
      </c>
      <c r="H205" s="14" t="s">
        <v>13</v>
      </c>
      <c r="I205" s="14" t="s">
        <v>13</v>
      </c>
      <c r="J205" s="14" t="s">
        <v>22</v>
      </c>
      <c r="K205" s="18" t="str">
        <f t="shared" si="5"/>
        <v>- Log Data 읽기 구현</v>
      </c>
      <c r="L205" s="13" t="s">
        <v>398</v>
      </c>
      <c r="M205" s="17" t="s">
        <v>228</v>
      </c>
    </row>
    <row r="206" spans="2:13" ht="51" x14ac:dyDescent="0.45">
      <c r="B206" s="73"/>
      <c r="C206" s="70"/>
      <c r="D206" s="4" t="str">
        <f>IF(COUNTA(E206),_xlfn.CONCAT("SW-FW-UnitTest-NRF-ID-",COUNTA(E$202:E206)),"")</f>
        <v>SW-FW-UnitTest-NRF-ID-5</v>
      </c>
      <c r="E206" s="3" t="s">
        <v>210</v>
      </c>
      <c r="F206" s="3" t="s">
        <v>20</v>
      </c>
      <c r="G206" s="3" t="s">
        <v>625</v>
      </c>
      <c r="H206" s="14" t="s">
        <v>13</v>
      </c>
      <c r="I206" s="14" t="s">
        <v>13</v>
      </c>
      <c r="J206" s="14" t="s">
        <v>22</v>
      </c>
      <c r="K206" s="18" t="str">
        <f t="shared" si="5"/>
        <v>- 주기반복 타이머 설정 구현</v>
      </c>
      <c r="L206" s="13" t="s">
        <v>396</v>
      </c>
      <c r="M206" s="17" t="s">
        <v>228</v>
      </c>
    </row>
    <row r="207" spans="2:13" ht="34" x14ac:dyDescent="0.45">
      <c r="B207" s="73"/>
      <c r="C207" s="70"/>
      <c r="D207" s="4" t="str">
        <f>IF(COUNTA(E207),_xlfn.CONCAT("SW-FW-UnitTest-NRF-ID-",COUNTA(E$202:E207)),"")</f>
        <v>SW-FW-UnitTest-NRF-ID-6</v>
      </c>
      <c r="E207" s="3" t="s">
        <v>211</v>
      </c>
      <c r="F207" s="3" t="s">
        <v>20</v>
      </c>
      <c r="G207" s="3" t="s">
        <v>626</v>
      </c>
      <c r="H207" s="14" t="s">
        <v>13</v>
      </c>
      <c r="I207" s="14" t="s">
        <v>13</v>
      </c>
      <c r="J207" s="14" t="s">
        <v>22</v>
      </c>
      <c r="K207" s="18" t="str">
        <f t="shared" si="5"/>
        <v>- Off Command 확인  구현</v>
      </c>
      <c r="L207" s="13" t="s">
        <v>399</v>
      </c>
      <c r="M207" s="17" t="s">
        <v>228</v>
      </c>
    </row>
    <row r="208" spans="2:13" ht="34" x14ac:dyDescent="0.45">
      <c r="B208" s="73"/>
      <c r="C208" s="70"/>
      <c r="D208" s="4" t="str">
        <f>IF(COUNTA(E208),_xlfn.CONCAT("SW-FW-UnitTest-NRF-ID-",COUNTA(E$202:E208)),"")</f>
        <v>SW-FW-UnitTest-NRF-ID-7</v>
      </c>
      <c r="E208" s="3" t="s">
        <v>212</v>
      </c>
      <c r="F208" s="3" t="s">
        <v>19</v>
      </c>
      <c r="G208" s="3" t="s">
        <v>627</v>
      </c>
      <c r="H208" s="14" t="s">
        <v>13</v>
      </c>
      <c r="I208" s="14" t="s">
        <v>13</v>
      </c>
      <c r="J208" s="14" t="s">
        <v>22</v>
      </c>
      <c r="K208" s="18" t="str">
        <f t="shared" si="5"/>
        <v>- 장치 정보 파라미터 읽기 구현</v>
      </c>
      <c r="L208" s="13" t="s">
        <v>400</v>
      </c>
      <c r="M208" s="17" t="s">
        <v>228</v>
      </c>
    </row>
    <row r="209" spans="2:13" ht="34" x14ac:dyDescent="0.45">
      <c r="B209" s="73"/>
      <c r="C209" s="70"/>
      <c r="D209" s="4" t="str">
        <f>IF(COUNTA(E209),_xlfn.CONCAT("SW-FW-UnitTest-NRF-ID-",COUNTA(E$202:E209)),"")</f>
        <v>SW-FW-UnitTest-NRF-ID-8</v>
      </c>
      <c r="E209" s="3" t="s">
        <v>213</v>
      </c>
      <c r="F209" s="3" t="s">
        <v>20</v>
      </c>
      <c r="G209" s="3" t="s">
        <v>628</v>
      </c>
      <c r="H209" s="14" t="s">
        <v>13</v>
      </c>
      <c r="I209" s="14" t="s">
        <v>13</v>
      </c>
      <c r="J209" s="14" t="s">
        <v>22</v>
      </c>
      <c r="K209" s="18" t="str">
        <f t="shared" si="5"/>
        <v>- BLE 광고 이름 설정  구현</v>
      </c>
      <c r="L209" s="13" t="s">
        <v>401</v>
      </c>
      <c r="M209" s="17" t="s">
        <v>228</v>
      </c>
    </row>
    <row r="210" spans="2:13" ht="34" x14ac:dyDescent="0.45">
      <c r="B210" s="73"/>
      <c r="C210" s="70"/>
      <c r="D210" s="4" t="str">
        <f>IF(COUNTA(E210),_xlfn.CONCAT("SW-FW-UnitTest-NRF-ID-",COUNTA(E$202:E210)),"")</f>
        <v>SW-FW-UnitTest-NRF-ID-9</v>
      </c>
      <c r="E210" s="3" t="s">
        <v>214</v>
      </c>
      <c r="F210" s="3" t="s">
        <v>20</v>
      </c>
      <c r="G210" s="3" t="s">
        <v>629</v>
      </c>
      <c r="H210" s="14" t="s">
        <v>13</v>
      </c>
      <c r="I210" s="14" t="s">
        <v>13</v>
      </c>
      <c r="J210" s="14" t="s">
        <v>22</v>
      </c>
      <c r="K210" s="18" t="str">
        <f t="shared" si="5"/>
        <v>- 타이머 설정 비활성화 구현</v>
      </c>
      <c r="L210" s="13" t="s">
        <v>402</v>
      </c>
      <c r="M210" s="17" t="s">
        <v>228</v>
      </c>
    </row>
    <row r="211" spans="2:13" ht="153" x14ac:dyDescent="0.45">
      <c r="B211" s="73"/>
      <c r="C211" s="70"/>
      <c r="D211" s="4" t="str">
        <f>IF(COUNTA(E211),_xlfn.CONCAT("SW-FW-UnitTest-NRF-ID-",COUNTA(E$202:E211)),"")</f>
        <v>SW-FW-UnitTest-NRF-ID-10</v>
      </c>
      <c r="E211" s="3" t="s">
        <v>215</v>
      </c>
      <c r="F211" s="3" t="s">
        <v>20</v>
      </c>
      <c r="G211" s="3" t="s">
        <v>630</v>
      </c>
      <c r="H211" s="14" t="s">
        <v>13</v>
      </c>
      <c r="I211" s="14" t="s">
        <v>13</v>
      </c>
      <c r="J211" s="14" t="s">
        <v>22</v>
      </c>
      <c r="K211" s="18" t="str">
        <f t="shared" si="5"/>
        <v>- 블루투스 스택 초기화 구현</v>
      </c>
      <c r="L211" s="13" t="s">
        <v>403</v>
      </c>
      <c r="M211" s="17" t="s">
        <v>228</v>
      </c>
    </row>
    <row r="212" spans="2:13" ht="85" x14ac:dyDescent="0.45">
      <c r="B212" s="73"/>
      <c r="C212" s="70"/>
      <c r="D212" s="4" t="str">
        <f>IF(COUNTA(E212),_xlfn.CONCAT("SW-FW-UnitTest-NRF-ID-",COUNTA(E$202:E212)),"")</f>
        <v>SW-FW-UnitTest-NRF-ID-11</v>
      </c>
      <c r="E212" s="3" t="s">
        <v>216</v>
      </c>
      <c r="F212" s="3" t="s">
        <v>20</v>
      </c>
      <c r="G212" s="3" t="s">
        <v>631</v>
      </c>
      <c r="H212" s="14" t="s">
        <v>13</v>
      </c>
      <c r="I212" s="14" t="s">
        <v>13</v>
      </c>
      <c r="J212" s="14" t="s">
        <v>22</v>
      </c>
      <c r="K212" s="18" t="str">
        <f>_xlfn.CONCAT("- ", E212, " 구현")</f>
        <v>- 저전력 모드 진입 구현</v>
      </c>
      <c r="L212" s="13" t="s">
        <v>404</v>
      </c>
      <c r="M212" s="17" t="s">
        <v>228</v>
      </c>
    </row>
    <row r="213" spans="2:13" x14ac:dyDescent="0.45">
      <c r="B213" s="73"/>
      <c r="C213" s="70"/>
      <c r="D213" s="4" t="str">
        <f>IF(COUNTA(E213),_xlfn.CONCAT("SW-FW-UnitTest-NRF-ID-",COUNTA(E$202:E213)),"")</f>
        <v>SW-FW-UnitTest-NRF-ID-12</v>
      </c>
      <c r="E213" s="3" t="s">
        <v>405</v>
      </c>
      <c r="F213" s="3" t="s">
        <v>20</v>
      </c>
      <c r="G213" s="3" t="s">
        <v>632</v>
      </c>
      <c r="H213" s="14" t="s">
        <v>13</v>
      </c>
      <c r="I213" s="14" t="s">
        <v>13</v>
      </c>
      <c r="J213" s="14" t="s">
        <v>22</v>
      </c>
      <c r="K213" s="18" t="str">
        <f t="shared" ref="K213:K219" si="6">_xlfn.CONCAT("- ", E213, " 구현")</f>
        <v>- BLE 본딩 데이터 저장 구현</v>
      </c>
      <c r="L213" s="13" t="s">
        <v>406</v>
      </c>
      <c r="M213" s="17" t="s">
        <v>228</v>
      </c>
    </row>
    <row r="214" spans="2:13" ht="34" x14ac:dyDescent="0.45">
      <c r="B214" s="73"/>
      <c r="C214" s="70"/>
      <c r="D214" s="4" t="str">
        <f>IF(COUNTA(E214),_xlfn.CONCAT("SW-FW-UnitTest-NRF-ID-",COUNTA(E$202:E214)),"")</f>
        <v>SW-FW-UnitTest-NRF-ID-13</v>
      </c>
      <c r="E214" s="3" t="s">
        <v>218</v>
      </c>
      <c r="F214" s="3" t="s">
        <v>20</v>
      </c>
      <c r="G214" s="3" t="s">
        <v>633</v>
      </c>
      <c r="H214" s="14" t="s">
        <v>13</v>
      </c>
      <c r="I214" s="14" t="s">
        <v>13</v>
      </c>
      <c r="J214" s="14" t="s">
        <v>22</v>
      </c>
      <c r="K214" s="18" t="str">
        <f t="shared" si="6"/>
        <v>- SPI 송신 데이터 쓰기 구현</v>
      </c>
      <c r="L214" s="13" t="s">
        <v>407</v>
      </c>
      <c r="M214" s="17" t="s">
        <v>228</v>
      </c>
    </row>
    <row r="215" spans="2:13" ht="34" x14ac:dyDescent="0.45">
      <c r="B215" s="73"/>
      <c r="C215" s="70"/>
      <c r="D215" s="4" t="str">
        <f>IF(COUNTA(E215),_xlfn.CONCAT("SW-FW-UnitTest-NRF-ID-",COUNTA(E$202:E215)),"")</f>
        <v>SW-FW-UnitTest-NRF-ID-14</v>
      </c>
      <c r="E215" s="3" t="s">
        <v>217</v>
      </c>
      <c r="F215" s="3" t="s">
        <v>20</v>
      </c>
      <c r="G215" s="3" t="s">
        <v>634</v>
      </c>
      <c r="H215" s="14" t="s">
        <v>13</v>
      </c>
      <c r="I215" s="14" t="s">
        <v>13</v>
      </c>
      <c r="J215" s="14" t="s">
        <v>22</v>
      </c>
      <c r="K215" s="18" t="str">
        <f t="shared" si="6"/>
        <v>- SPI 송신 구현</v>
      </c>
      <c r="L215" s="13" t="s">
        <v>410</v>
      </c>
      <c r="M215" s="17" t="s">
        <v>228</v>
      </c>
    </row>
    <row r="216" spans="2:13" ht="34" x14ac:dyDescent="0.45">
      <c r="B216" s="73"/>
      <c r="C216" s="70"/>
      <c r="D216" s="4" t="str">
        <f>IF(COUNTA(E216),_xlfn.CONCAT("SW-FW-UnitTest-NRF-ID-",COUNTA(E$202:E216)),"")</f>
        <v>SW-FW-UnitTest-NRF-ID-15</v>
      </c>
      <c r="E216" s="3" t="s">
        <v>219</v>
      </c>
      <c r="F216" s="3" t="s">
        <v>20</v>
      </c>
      <c r="G216" s="3" t="s">
        <v>635</v>
      </c>
      <c r="H216" s="14" t="s">
        <v>13</v>
      </c>
      <c r="I216" s="14" t="s">
        <v>13</v>
      </c>
      <c r="J216" s="14" t="s">
        <v>22</v>
      </c>
      <c r="K216" s="18" t="str">
        <f t="shared" si="6"/>
        <v>- SPI 슬레이브 장치 데이터 송신 알림 읽기   구현</v>
      </c>
      <c r="L216" s="13" t="s">
        <v>408</v>
      </c>
      <c r="M216" s="17" t="s">
        <v>228</v>
      </c>
    </row>
    <row r="217" spans="2:13" ht="34" x14ac:dyDescent="0.45">
      <c r="B217" s="73"/>
      <c r="C217" s="70"/>
      <c r="D217" s="4" t="str">
        <f>IF(COUNTA(E217),_xlfn.CONCAT("SW-FW-UnitTest-NRF-ID-",COUNTA(E$202:E217)),"")</f>
        <v>SW-FW-UnitTest-NRF-ID-16</v>
      </c>
      <c r="E217" s="3" t="s">
        <v>220</v>
      </c>
      <c r="F217" s="3" t="s">
        <v>20</v>
      </c>
      <c r="G217" s="3" t="s">
        <v>636</v>
      </c>
      <c r="H217" s="14" t="s">
        <v>13</v>
      </c>
      <c r="I217" s="14" t="s">
        <v>13</v>
      </c>
      <c r="J217" s="14" t="s">
        <v>22</v>
      </c>
      <c r="K217" s="18" t="str">
        <f t="shared" si="6"/>
        <v>- SPI 수신  구현</v>
      </c>
      <c r="L217" s="13" t="s">
        <v>409</v>
      </c>
      <c r="M217" s="17" t="s">
        <v>228</v>
      </c>
    </row>
    <row r="218" spans="2:13" ht="34" x14ac:dyDescent="0.45">
      <c r="B218" s="73"/>
      <c r="C218" s="70"/>
      <c r="D218" s="4" t="str">
        <f>IF(COUNTA(E218),_xlfn.CONCAT("SW-FW-UnitTest-NRF-ID-",COUNTA(E$202:E218)),"")</f>
        <v>SW-FW-UnitTest-NRF-ID-17</v>
      </c>
      <c r="E218" s="3" t="s">
        <v>221</v>
      </c>
      <c r="F218" s="3" t="s">
        <v>20</v>
      </c>
      <c r="G218" s="3" t="s">
        <v>637</v>
      </c>
      <c r="H218" s="14" t="s">
        <v>13</v>
      </c>
      <c r="I218" s="14" t="s">
        <v>13</v>
      </c>
      <c r="J218" s="14" t="s">
        <v>22</v>
      </c>
      <c r="K218" s="18" t="str">
        <f t="shared" si="6"/>
        <v>- SPI 수신 데이터 복사 구현</v>
      </c>
      <c r="L218" s="13" t="s">
        <v>411</v>
      </c>
      <c r="M218" s="17" t="s">
        <v>228</v>
      </c>
    </row>
    <row r="219" spans="2:13" ht="34" x14ac:dyDescent="0.45">
      <c r="B219" s="74"/>
      <c r="C219" s="8" t="s">
        <v>207</v>
      </c>
      <c r="D219" s="4" t="str">
        <f>IF(COUNTA(E219),_xlfn.CONCAT("SW-FW-UnitTest-NRF-ID-",COUNTA(E$202:E219)),"")</f>
        <v>SW-FW-UnitTest-NRF-ID-18</v>
      </c>
      <c r="E219" s="3" t="s">
        <v>222</v>
      </c>
      <c r="F219" s="3" t="s">
        <v>20</v>
      </c>
      <c r="G219" s="3" t="s">
        <v>638</v>
      </c>
      <c r="H219" s="14" t="s">
        <v>13</v>
      </c>
      <c r="I219" s="14" t="s">
        <v>13</v>
      </c>
      <c r="J219" s="14" t="s">
        <v>22</v>
      </c>
      <c r="K219" s="18" t="str">
        <f t="shared" si="6"/>
        <v>- 블루투스 데이터 수신 구현</v>
      </c>
      <c r="L219" s="13" t="s">
        <v>412</v>
      </c>
      <c r="M219" s="17" t="s">
        <v>228</v>
      </c>
    </row>
    <row r="222" spans="2:13" ht="21" x14ac:dyDescent="0.45">
      <c r="B222" s="27" t="s">
        <v>445</v>
      </c>
      <c r="C222" s="21"/>
    </row>
    <row r="223" spans="2:13" x14ac:dyDescent="0.45">
      <c r="B223" s="21"/>
      <c r="C223" s="21" t="s">
        <v>224</v>
      </c>
    </row>
  </sheetData>
  <mergeCells count="39">
    <mergeCell ref="D27:F27"/>
    <mergeCell ref="D28:F28"/>
    <mergeCell ref="D29:F29"/>
    <mergeCell ref="D21:F21"/>
    <mergeCell ref="D22:F22"/>
    <mergeCell ref="D23:F23"/>
    <mergeCell ref="D24:F24"/>
    <mergeCell ref="D16:F16"/>
    <mergeCell ref="D17:F17"/>
    <mergeCell ref="D18:F18"/>
    <mergeCell ref="D19:F19"/>
    <mergeCell ref="D20:F20"/>
    <mergeCell ref="B2:F3"/>
    <mergeCell ref="D7:F7"/>
    <mergeCell ref="D8:F8"/>
    <mergeCell ref="C11:F11"/>
    <mergeCell ref="D15:F15"/>
    <mergeCell ref="B202:B219"/>
    <mergeCell ref="C202:C218"/>
    <mergeCell ref="K32:K33"/>
    <mergeCell ref="L32:L33"/>
    <mergeCell ref="M32:M33"/>
    <mergeCell ref="B34:B94"/>
    <mergeCell ref="C34:C80"/>
    <mergeCell ref="C81:C92"/>
    <mergeCell ref="C93:C94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B95:B201"/>
    <mergeCell ref="C95:C172"/>
    <mergeCell ref="C174:C192"/>
    <mergeCell ref="C193:C201"/>
  </mergeCells>
  <phoneticPr fontId="1" type="noConversion"/>
  <pageMargins left="0.25" right="0.25" top="0.75" bottom="0.75" header="0.3" footer="0.3"/>
  <pageSetup paperSize="9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보고서_유닛 시험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임정우</cp:lastModifiedBy>
  <cp:lastPrinted>2024-11-25T11:31:24Z</cp:lastPrinted>
  <dcterms:created xsi:type="dcterms:W3CDTF">2015-06-05T18:19:34Z</dcterms:created>
  <dcterms:modified xsi:type="dcterms:W3CDTF">2024-11-25T11:31:32Z</dcterms:modified>
</cp:coreProperties>
</file>