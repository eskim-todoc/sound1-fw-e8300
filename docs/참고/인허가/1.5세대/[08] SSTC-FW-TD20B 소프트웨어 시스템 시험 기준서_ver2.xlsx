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johnnyTodoc\(주)토닥 Dropbox\인공와우\DHF-인공와우\01_외부기\TD20B_A_EXT\000_완제품\03_설계 출력\SW\펌웨어\"/>
    </mc:Choice>
  </mc:AlternateContent>
  <xr:revisionPtr revIDLastSave="0" documentId="13_ncr:1_{952720FE-6CB4-47EE-881F-1C027874B686}" xr6:coauthVersionLast="47" xr6:coauthVersionMax="47" xr10:uidLastSave="{00000000-0000-0000-0000-000000000000}"/>
  <bookViews>
    <workbookView xWindow="6310" yWindow="2170" windowWidth="21370" windowHeight="16270" activeTab="1" xr2:uid="{00000000-000D-0000-FFFF-FFFF00000000}"/>
  </bookViews>
  <sheets>
    <sheet name="표지" sheetId="1" r:id="rId1"/>
    <sheet name="기준서_시스템 시험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1" i="4" l="1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B88" i="4" l="1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87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34" i="4"/>
</calcChain>
</file>

<file path=xl/sharedStrings.xml><?xml version="1.0" encoding="utf-8"?>
<sst xmlns="http://schemas.openxmlformats.org/spreadsheetml/2006/main" count="417" uniqueCount="309">
  <si>
    <t>문서번호</t>
    <phoneticPr fontId="3" type="noConversion"/>
  </si>
  <si>
    <t>버전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</si>
  <si>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</si>
  <si>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</si>
  <si>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</si>
  <si>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서명</t>
    <phoneticPr fontId="3" type="noConversion"/>
  </si>
  <si>
    <t>개정이력</t>
    <phoneticPr fontId="3" type="noConversion"/>
  </si>
  <si>
    <t>개정번호</t>
    <phoneticPr fontId="3" type="noConversion"/>
  </si>
  <si>
    <t>개정날짜</t>
    <phoneticPr fontId="3" type="noConversion"/>
  </si>
  <si>
    <t>개정내용</t>
    <phoneticPr fontId="3" type="noConversion"/>
  </si>
  <si>
    <t>TEST ID</t>
    <phoneticPr fontId="1" type="noConversion"/>
  </si>
  <si>
    <t>방법</t>
    <phoneticPr fontId="1" type="noConversion"/>
  </si>
  <si>
    <t>설명</t>
    <phoneticPr fontId="1" type="noConversion"/>
  </si>
  <si>
    <t>소프트웨어 요구사항 사양 ID</t>
    <phoneticPr fontId="1" type="noConversion"/>
  </si>
  <si>
    <t>통과 기준</t>
    <phoneticPr fontId="1" type="noConversion"/>
  </si>
  <si>
    <t>가정 및 제한 조건</t>
    <phoneticPr fontId="1" type="noConversion"/>
  </si>
  <si>
    <t>시험 절차</t>
    <phoneticPr fontId="1" type="noConversion"/>
  </si>
  <si>
    <t>공통</t>
    <phoneticPr fontId="1" type="noConversion"/>
  </si>
  <si>
    <t>독립</t>
    <phoneticPr fontId="1" type="noConversion"/>
  </si>
  <si>
    <t xml:space="preserve"> -</t>
    <phoneticPr fontId="1" type="noConversion"/>
  </si>
  <si>
    <t>T</t>
    <phoneticPr fontId="1" type="noConversion"/>
  </si>
  <si>
    <t>자극 펄스의 선행 위상이 조정</t>
    <phoneticPr fontId="1" type="noConversion"/>
  </si>
  <si>
    <t xml:space="preserve">모노폴라 자극 출력 </t>
    <phoneticPr fontId="1" type="noConversion"/>
  </si>
  <si>
    <t xml:space="preserve"> 최대 자극률</t>
    <phoneticPr fontId="1" type="noConversion"/>
  </si>
  <si>
    <t>최대 전하량 제한</t>
    <phoneticPr fontId="1" type="noConversion"/>
  </si>
  <si>
    <t>D</t>
    <phoneticPr fontId="1" type="noConversion"/>
  </si>
  <si>
    <t>주파수 분석 방법(FFT)</t>
    <phoneticPr fontId="1" type="noConversion"/>
  </si>
  <si>
    <t>주파수 분석 대역수(32개)</t>
    <phoneticPr fontId="1" type="noConversion"/>
  </si>
  <si>
    <t xml:space="preserve">자극 기법 </t>
    <phoneticPr fontId="1" type="noConversion"/>
  </si>
  <si>
    <t>사운드 신호처리 주기</t>
    <phoneticPr fontId="1" type="noConversion"/>
  </si>
  <si>
    <t>자극 펄스폭</t>
    <phoneticPr fontId="1" type="noConversion"/>
  </si>
  <si>
    <t>입력 오디오 개수</t>
    <phoneticPr fontId="1" type="noConversion"/>
  </si>
  <si>
    <t>입력 오디오 주파수</t>
    <phoneticPr fontId="1" type="noConversion"/>
  </si>
  <si>
    <t>가속도 센서 입력</t>
    <phoneticPr fontId="1" type="noConversion"/>
  </si>
  <si>
    <t xml:space="preserve">외부기 동작 상태 LED </t>
    <phoneticPr fontId="1" type="noConversion"/>
  </si>
  <si>
    <t>배터리 잔량 상태 LED</t>
    <phoneticPr fontId="1" type="noConversion"/>
  </si>
  <si>
    <t>배터리 잔량 부족 알림 자극</t>
    <phoneticPr fontId="1" type="noConversion"/>
  </si>
  <si>
    <t>맵 데이터 수</t>
    <phoneticPr fontId="1" type="noConversion"/>
  </si>
  <si>
    <t>리모콘에 의한 맵 데이터 변경</t>
    <phoneticPr fontId="1" type="noConversion"/>
  </si>
  <si>
    <t>리모콘에 의한 오디오 볼륨 조절</t>
    <phoneticPr fontId="1" type="noConversion"/>
  </si>
  <si>
    <t>리모콘에 의한 자극 볼륨 조절</t>
    <phoneticPr fontId="1" type="noConversion"/>
  </si>
  <si>
    <t>리모콘에 의한 LED 알림 켜기/끄기</t>
    <phoneticPr fontId="1" type="noConversion"/>
  </si>
  <si>
    <t>리모콘에 의한 자극 알림 켜기/끄기</t>
    <phoneticPr fontId="1" type="noConversion"/>
  </si>
  <si>
    <t>리모콘으로 배터리 상태 전송</t>
    <phoneticPr fontId="1" type="noConversion"/>
  </si>
  <si>
    <t>리모콘으로 선택된 맵 데이터 번호 전송</t>
    <phoneticPr fontId="1" type="noConversion"/>
  </si>
  <si>
    <t>리모콘으로 오디오 볼룸 단계 전송</t>
    <phoneticPr fontId="1" type="noConversion"/>
  </si>
  <si>
    <t>리모콘으로 자극 봄륨 단계 전송</t>
    <phoneticPr fontId="1" type="noConversion"/>
  </si>
  <si>
    <t>리모콘으로 LED 알림 설정 상태 전송</t>
    <phoneticPr fontId="1" type="noConversion"/>
  </si>
  <si>
    <t>리모콘으로 자극 알림 설정 상태 전송</t>
    <phoneticPr fontId="1" type="noConversion"/>
  </si>
  <si>
    <t>FPGA와 I2C 통신</t>
    <phoneticPr fontId="1" type="noConversion"/>
  </si>
  <si>
    <t>가속도 센서와 I2C 통신</t>
    <phoneticPr fontId="1" type="noConversion"/>
  </si>
  <si>
    <t>자극 볼륨 조정 수</t>
    <phoneticPr fontId="1" type="noConversion"/>
  </si>
  <si>
    <t>AGC 감도 조절(오디오 볼륨)</t>
    <phoneticPr fontId="1" type="noConversion"/>
  </si>
  <si>
    <t>FPGA에 PCM 데이터 출력</t>
    <phoneticPr fontId="1" type="noConversion"/>
  </si>
  <si>
    <t>매핑 데이터 구성</t>
    <phoneticPr fontId="1" type="noConversion"/>
  </si>
  <si>
    <t>리모콘 앱과의 블루투스 통신</t>
    <phoneticPr fontId="1" type="noConversion"/>
  </si>
  <si>
    <t>내부기 제어를 위한 보안키 확인 후 제어</t>
    <phoneticPr fontId="1" type="noConversion"/>
  </si>
  <si>
    <t>내부기와 연결된 상태에서만 블루투스 활성화</t>
    <phoneticPr fontId="1" type="noConversion"/>
  </si>
  <si>
    <t>블루투스 통신에 페어링 기능 적용</t>
    <phoneticPr fontId="1" type="noConversion"/>
  </si>
  <si>
    <t>배터리 잔량 부족을 주기적으로 반복</t>
    <phoneticPr fontId="1" type="noConversion"/>
  </si>
  <si>
    <t>볼륨증가를 단계적으로 진행되도록 설계</t>
    <phoneticPr fontId="1" type="noConversion"/>
  </si>
  <si>
    <t>필수 성능 시험을 진행</t>
    <phoneticPr fontId="1" type="noConversion"/>
  </si>
  <si>
    <t>실시간 신호처리가 가능하도록 설계</t>
    <phoneticPr fontId="1" type="noConversion"/>
  </si>
  <si>
    <t>CRC 기능이 있는 무선 통신 프로토콜 사용</t>
    <phoneticPr fontId="1" type="noConversion"/>
  </si>
  <si>
    <t>정상 사용을 위한 준비상태 표시</t>
    <phoneticPr fontId="1" type="noConversion"/>
  </si>
  <si>
    <t>구분이 쉽도록 LED 패턴을 생성</t>
    <phoneticPr fontId="1" type="noConversion"/>
  </si>
  <si>
    <t>사회 통념적으로 사용되는 색상으로 LED 상태 표시</t>
    <phoneticPr fontId="1" type="noConversion"/>
  </si>
  <si>
    <t>전원 커넥터 연결상태</t>
    <phoneticPr fontId="1" type="noConversion"/>
  </si>
  <si>
    <t>A</t>
    <phoneticPr fontId="1" type="noConversion"/>
  </si>
  <si>
    <t>블루투스 통신 접속 로그</t>
    <phoneticPr fontId="1" type="noConversion"/>
  </si>
  <si>
    <t>오실로스코프로 내부기에서 출력되는 펄스파형의 자극률을 측정한다.</t>
    <phoneticPr fontId="1" type="noConversion"/>
  </si>
  <si>
    <t>24kHz, 허용오차 5%</t>
    <phoneticPr fontId="1" type="noConversion"/>
  </si>
  <si>
    <t>- 활성화된 자극 채널수 : 24개 이하</t>
    <phoneticPr fontId="1" type="noConversion"/>
  </si>
  <si>
    <t>오실로스코프로 내부기에서 출력되는 채널별 펄스파형의 자극률을 측정한다.</t>
    <phoneticPr fontId="1" type="noConversion"/>
  </si>
  <si>
    <t>H</t>
    <phoneticPr fontId="1" type="noConversion"/>
  </si>
  <si>
    <t>- 모노폴라 자극 출력이 설정된 맵데이터 적용</t>
    <phoneticPr fontId="1" type="noConversion"/>
  </si>
  <si>
    <t>오실로스코프로 자극 출력이 생성되는지 확인한다.</t>
    <phoneticPr fontId="1" type="noConversion"/>
  </si>
  <si>
    <t>오실로스코프로 자극 펄스 파형의 선행 위상의 방향을 확인한다.</t>
    <phoneticPr fontId="1" type="noConversion"/>
  </si>
  <si>
    <t>자극 출력이 확인되어야 한다.</t>
    <phoneticPr fontId="1" type="noConversion"/>
  </si>
  <si>
    <t>맵 데이터 적용된 선행펄스 위상과 동일한 방향이 확인되어야 한다.</t>
    <phoneticPr fontId="1" type="noConversion"/>
  </si>
  <si>
    <t>채널별 최대 자극률</t>
    <phoneticPr fontId="1" type="noConversion"/>
  </si>
  <si>
    <t>- 내부기 자극칩의 자극 전류 범위가 설정된 맵 데이터 적용</t>
    <phoneticPr fontId="1" type="noConversion"/>
  </si>
  <si>
    <t>오실로스코프로 자극 출력의 크기를 측정한다.</t>
    <phoneticPr fontId="1" type="noConversion"/>
  </si>
  <si>
    <t>측정된 전압을 전류로 변환하여 자극칩의 전류범위와 동일해야 한다. 오차율 10%</t>
    <phoneticPr fontId="1" type="noConversion"/>
  </si>
  <si>
    <t>- 자극 펄스 폭 범위 측정용 맵 데이터 적용.</t>
    <phoneticPr fontId="1" type="noConversion"/>
  </si>
  <si>
    <t>- 자극 펄스의 선행위 측정용 맵 데이터 적용</t>
    <phoneticPr fontId="1" type="noConversion"/>
  </si>
  <si>
    <t>오실로스코프로 자극 출력 펄스 폭을 측정한다.</t>
    <phoneticPr fontId="1" type="noConversion"/>
  </si>
  <si>
    <t>13~255usec,  허용오차 5%</t>
    <phoneticPr fontId="1" type="noConversion"/>
  </si>
  <si>
    <t>- 최대 전하량 제한용 맵 데이터를 적용</t>
    <phoneticPr fontId="1" type="noConversion"/>
  </si>
  <si>
    <t>외부기를 내부기에 부착 후, LED 패턴을 관찰한다.</t>
    <phoneticPr fontId="1" type="noConversion"/>
  </si>
  <si>
    <t>붉은색 LED(오류 상태)가 표시되어야한다.</t>
    <phoneticPr fontId="1" type="noConversion"/>
  </si>
  <si>
    <t>주파수 분석 대역의 중심 주파수 및 경계 주파수로 구성된 음향신호를 스피커로 출력하고 오실로스코프로 내부기 채널별 출력 크기를 확인한다.</t>
    <phoneticPr fontId="1" type="noConversion"/>
  </si>
  <si>
    <t>오실로스코프로 채널별 자극 순서를 확인한다.</t>
    <phoneticPr fontId="1" type="noConversion"/>
  </si>
  <si>
    <t>오실로스코프로 관찰되는재널별 자극 순서가 맵데이터에 설정된 채널별 자극 순서와 동일해야한다.</t>
    <phoneticPr fontId="1" type="noConversion"/>
  </si>
  <si>
    <t>- 다른 데이터로 구성된 4개의 맵 데이터 적용</t>
    <phoneticPr fontId="1" type="noConversion"/>
  </si>
  <si>
    <t>- 리모콘으로 맵 번호를 변경하면서 내부기 출력을 오실로스코프로 관찰한다.</t>
    <phoneticPr fontId="1" type="noConversion"/>
  </si>
  <si>
    <t>- 맵이 변경되면 자극 출력도 변경되는 것이 확인 되어야한다.</t>
    <phoneticPr fontId="1" type="noConversion"/>
  </si>
  <si>
    <t>- 리모콘으로 자극볼륨을 변경하면서 내부기 출력을 오실로스코프로 관찰한다.</t>
    <phoneticPr fontId="1" type="noConversion"/>
  </si>
  <si>
    <t>- 자극 볼륨이 4단계로 변경됨에 따라 자극 출력의 크기도 4단계로 변경되어야 한다.</t>
    <phoneticPr fontId="1" type="noConversion"/>
  </si>
  <si>
    <t>- 오실로스코프로 신호처리 주기를 측정한다.</t>
    <phoneticPr fontId="1" type="noConversion"/>
  </si>
  <si>
    <t>- 1msec, 오차율 5%</t>
    <phoneticPr fontId="1" type="noConversion"/>
  </si>
  <si>
    <t>- 외부기 전원이 꺼져 있는 상태</t>
    <phoneticPr fontId="1" type="noConversion"/>
  </si>
  <si>
    <t>-외부기 전원을 켜고 LED 색상을 확인한다.</t>
    <phoneticPr fontId="1" type="noConversion"/>
  </si>
  <si>
    <t>- 녹색등이 들어와야한다.
( FPGA와 PCM  통신 정상)</t>
    <phoneticPr fontId="1" type="noConversion"/>
  </si>
  <si>
    <t xml:space="preserve">  SW-FW-SYS-Test-ID-1 ~   SW-FW-SYS-Test-ID-7의 결과를 확인한다.</t>
    <phoneticPr fontId="1" type="noConversion"/>
  </si>
  <si>
    <t xml:space="preserve"> SW-FW-SYS-Test-ID-1 ~   SW-FW-SYS-Test-ID-7 모든 결과가 합격이어야한다.</t>
    <phoneticPr fontId="1" type="noConversion"/>
  </si>
  <si>
    <t>- 외부기 전원이 꺼져 있는 상태
- 내부기와 연결되지 않은 상태</t>
    <phoneticPr fontId="1" type="noConversion"/>
  </si>
  <si>
    <t>외부기 본체를 두드려서 전원을 켠 후, 다시 본체를 두드려서 전원을 끈다.</t>
    <phoneticPr fontId="1" type="noConversion"/>
  </si>
  <si>
    <t>두드림에 반응하여 전원이 켜지고 꺼져야 한다.</t>
    <phoneticPr fontId="1" type="noConversion"/>
  </si>
  <si>
    <t>- 외부기 전원을 켠다.
- 내부기와 무선 연결한다.</t>
    <phoneticPr fontId="1" type="noConversion"/>
  </si>
  <si>
    <t>- 전원공급기의 전압을 3.7V로 설정한다.
- 충전용 커넥터를 연결하고 LED 패턴을 확인한다.
- 전원공급기의 전원을 4.2V로 설정하고  LED 패턴을 확인한다.</t>
    <phoneticPr fontId="1" type="noConversion"/>
  </si>
  <si>
    <t>- 전원 공급기 공급 전압이 3.7V 일때 백색 LED가 점멸해야한다.
- 전원 공급기 공급 전압이 4.2V 일때 백색 LED가 점등해야한다.</t>
    <phoneticPr fontId="1" type="noConversion"/>
  </si>
  <si>
    <t>- 알림용 자극 신호의 출력이 관찰되어야 한다.</t>
    <phoneticPr fontId="1" type="noConversion"/>
  </si>
  <si>
    <t>- 리모콘 앱으로 맵 번호를 변경하면서, 오실로스코프를 자극 출력을 관찰한다.</t>
    <phoneticPr fontId="1" type="noConversion"/>
  </si>
  <si>
    <t>- 자극 출력의 변화가 관찰되어야 한다.</t>
    <phoneticPr fontId="1" type="noConversion"/>
  </si>
  <si>
    <t>- 리모콘 앱으로 자극볼륨(최대출력)을 변경하면서, 오실로스코프를 자극 출력을 관찰한다.</t>
    <phoneticPr fontId="1" type="noConversion"/>
  </si>
  <si>
    <t>- 리모콘 앱으로 오디오 볼륨을 변경하면서, 오실로스코프를 자극 출력을 관찰한다.</t>
    <phoneticPr fontId="1" type="noConversion"/>
  </si>
  <si>
    <t>- 리모콘 앱으로 LED 알림을 끄코 켠다.</t>
    <phoneticPr fontId="1" type="noConversion"/>
  </si>
  <si>
    <t>- 리모콘 앱의 설정대로 LED가 켜고 꺼져야한다.</t>
    <phoneticPr fontId="1" type="noConversion"/>
  </si>
  <si>
    <t>- 전원 공급기의 전원을 3.7V로 설정하고, 개발보드의 전원을 켠다.
- 리코콘으로 자극 알림을 끈다.
- 전원 공급기의 전원을 3.3V로 설정하면서, LED 상태와 오실로스코프로 자극 출력을 관찰한다.</t>
    <phoneticPr fontId="1" type="noConversion"/>
  </si>
  <si>
    <t>- 배터리 잔량 부족 LED의 출력은 관찰되고, 자극 알림 출력은 관찰되지 않아야 한다.</t>
    <phoneticPr fontId="1" type="noConversion"/>
  </si>
  <si>
    <t>- 리모콘에 배터리 잔량의 표시의 변화가 관찰되어야 한다.</t>
    <phoneticPr fontId="1" type="noConversion"/>
  </si>
  <si>
    <t>- 자극 출력의 변화가 관찰되고, 리모콘에 표시되는 맵 번호가 변화되어야한다.</t>
    <phoneticPr fontId="1" type="noConversion"/>
  </si>
  <si>
    <t>- 자극 출력의 변화가 관찰되고, 리모콘에 표시되는 오디오 볼륨의 변화가 관찰되어야한다.</t>
    <phoneticPr fontId="1" type="noConversion"/>
  </si>
  <si>
    <t>- 자극 출력의 변화가 관찰되고, 리모콘에 표시되는 자극볼륨(최대출력)의 변화가 관찰되어야 한다.</t>
    <phoneticPr fontId="1" type="noConversion"/>
  </si>
  <si>
    <t>- 리모콘 앱의 설정대로 LED가 켜고 꺼져야하며, 외부기의 LED 상태가 리모콘 앱에 표시 되어야한다.</t>
    <phoneticPr fontId="1" type="noConversion"/>
  </si>
  <si>
    <t>- 배터리 잔량 부족 LED의 출력은 관찰되고 자극 알림 출력은 관찰되지 않아야하며, 리모콘에 자극 알림 설정은 꺼짐으로 표시되어야 한다.</t>
    <phoneticPr fontId="1" type="noConversion"/>
  </si>
  <si>
    <t>- 내부기 출력 측정 PBS 지그에 결합된 내부기
- 내부기에 부착된 외부기
- 내부기 출력 측정 PBS 지그에 연결된 오실로스코프</t>
  </si>
  <si>
    <t>- 내부기 출력 측정 PBS 지그에 결합된 내부기
- 내부기에 부착된 외부기
- 내부기 출력 측정 PBS 지그에 연결된 오실로스코프
- 외부기가 리모콘 앱으로 연결된 상태.</t>
  </si>
  <si>
    <t>PMIC와의 I2C 통신</t>
    <phoneticPr fontId="1" type="noConversion"/>
  </si>
  <si>
    <t xml:space="preserve"> - 외부기 본체를 두드려서 전원을 켜고, LED 및 자극 출력을 관찰한다.</t>
    <phoneticPr fontId="1" type="noConversion"/>
  </si>
  <si>
    <t>- 내부기 출력 측정 PBS 지그에 결합된 내부기
- 내부기 출력 측정 PBS 지그에 연결된 오실로스코프
- 전원이 켜진상태로 내부기에 부착된 외부기
- 외부기가 리모콘 앱으로 연결된 상태.</t>
    <phoneticPr fontId="1" type="noConversion"/>
  </si>
  <si>
    <t>- 내부기 출력 측정 PBS 지그에 결합된 내부기
- 전원이 켜진상태로 내부기에 부착된 외부기
- 외부기가 리모콘 앱으로 연결된 상태.</t>
    <phoneticPr fontId="1" type="noConversion"/>
  </si>
  <si>
    <t>- 전원 공급기의 전원을 3.7V로 설정하고, 외부기 전원을 켠다.
- 외부기와 내부기와 결합한다.
- 전원 공급기의 전원을 3.3로 설정하면서, 오실로스코프로 자극 출력을 관찰한다.</t>
    <phoneticPr fontId="1" type="noConversion"/>
  </si>
  <si>
    <t>- 내부기 출력 측정 PBS 지그에 결합된 내부기
- 내부기 출력 측정 PBS 지그에 연결된 오실로스코프
- 전원공급기에 연결된 외부기
- 전원이 켜진상태로 내부기에 부착된 외부기
- 외부기가 리모콘 앱으로 연결된 상태.</t>
    <phoneticPr fontId="1" type="noConversion"/>
  </si>
  <si>
    <t>- 내부기 출력 측정 PBS 지그에 결합된 내부기
- 내부기 출력 측정 PBS 지그에 연결된 오실로스코프
- 전원공급기에 연결된 외부기</t>
    <phoneticPr fontId="1" type="noConversion"/>
  </si>
  <si>
    <t>- 전원공급기에 연결된 외부기
- 내부기와 연결되지 않은 상태</t>
    <phoneticPr fontId="1" type="noConversion"/>
  </si>
  <si>
    <t>- 전원공급기에 연결된 외부기</t>
    <phoneticPr fontId="1" type="noConversion"/>
  </si>
  <si>
    <t>- 내부기 출력 측정 PBS 지그에 결합된 내부기
- 내부기에 부착된 외부기
- 내부기 출력 측정 PBS 지그에 연결된 오실로스코프</t>
    <phoneticPr fontId="1" type="noConversion"/>
  </si>
  <si>
    <t>- 내부기에 부착된 외부기</t>
    <phoneticPr fontId="1" type="noConversion"/>
  </si>
  <si>
    <t>- 녹색등이 점멸하고, 자극 출력이 관찰되어야한다.
(전원이 켜진 것은 가속도 센서가 I2C통신으로 설정된 상태)</t>
    <phoneticPr fontId="1" type="noConversion"/>
  </si>
  <si>
    <t>- 녹색등이 점멸하고, 자극 출력이 관찰되어야한다.
(FPGA와 I2C로 정상적으로 통신이 되고 있는 상태)</t>
    <phoneticPr fontId="1" type="noConversion"/>
  </si>
  <si>
    <t>- 녹색등이 점멸하고, 자극 출력이 관찰되어야한다.
(I2C 통신으로 PCMI가 정상적으로 설정되어 자극 출력이 확인되는 상태)</t>
    <phoneticPr fontId="1" type="noConversion"/>
  </si>
  <si>
    <t>- 리모콘 제어 관련 시험 결과를 확인한다.</t>
    <phoneticPr fontId="1" type="noConversion"/>
  </si>
  <si>
    <t>- SW-FW-SYS-Test-ID-25~SW-FW-SYS-Test-ID-34의 시험 결과가 통과되어야 한다.</t>
    <phoneticPr fontId="1" type="noConversion"/>
  </si>
  <si>
    <t xml:space="preserve">- 리모콘 앱에 등록되지 않은 내부기 </t>
    <phoneticPr fontId="1" type="noConversion"/>
  </si>
  <si>
    <t>- 리모콘 앱에 내부기 등록 과정에서 저장된 맵 데이터와 일치하지 않은 보안키로 설정하고, 외부기와 연결한다.</t>
    <phoneticPr fontId="1" type="noConversion"/>
  </si>
  <si>
    <t>- 리모콘 해당 내부기(외부기 조합)의 제어가 불가능해야 한다.</t>
    <phoneticPr fontId="1" type="noConversion"/>
  </si>
  <si>
    <t>-내부기와 연결되지 않은 외부기
-블루투스 광고 검색 장치</t>
    <phoneticPr fontId="1" type="noConversion"/>
  </si>
  <si>
    <t>- 외부기의 전원을 켜고 블루투스 광고 검색 장치로 외뷔기를 검색한다.
- 내부기와 연결 후, 블루투스 광고 검색을 재 실행한다.</t>
    <phoneticPr fontId="1" type="noConversion"/>
  </si>
  <si>
    <t>- 내부기와 연결되지 않은 상태에서 블루투스 광고가 검색 되지 않아야 하며, 내부기와 연결되면 블루투스 광고가 확인되어야 한다.</t>
    <phoneticPr fontId="1" type="noConversion"/>
  </si>
  <si>
    <t>- SW-FW-SYS-Test-ID-25~SW-FW-SYS-Test-ID-39의 시험 결과가 통과되어야 한다.</t>
    <phoneticPr fontId="1" type="noConversion"/>
  </si>
  <si>
    <t>- 리모콘에 등록되어 있지 않은 외부기</t>
    <phoneticPr fontId="1" type="noConversion"/>
  </si>
  <si>
    <t>- 외부기의 전원을 켜고, 내부기와 결합한다.
- 리모콘에 외부기 등록 절차를 진행한다.
- 페어링 과정에서 임의로 일치하지 않은 보안키를 설정한다.</t>
    <phoneticPr fontId="1" type="noConversion"/>
  </si>
  <si>
    <t>- 페어링 키가 맞지 않으면 페어링이 진행되지 않아야 한다.</t>
    <phoneticPr fontId="1" type="noConversion"/>
  </si>
  <si>
    <t>- 블루투스로 연결된 리모콘의 정보가 확인 되어야 한다.</t>
    <phoneticPr fontId="1" type="noConversion"/>
  </si>
  <si>
    <t>- 외부기의 플래쉬 메모리 읽어서 접속 로그를 확인한다.
  (NRF CORE debugging)</t>
    <phoneticPr fontId="1" type="noConversion"/>
  </si>
  <si>
    <t>- 자극 알림 설정이 켜져있는 상태.</t>
    <phoneticPr fontId="1" type="noConversion"/>
  </si>
  <si>
    <t>- 10분 간격으로 자극 알림 출력이 관찰되어야 한다.</t>
    <phoneticPr fontId="1" type="noConversion"/>
  </si>
  <si>
    <t>-내부기와 연결되고 리모콘과 연결된 외부기</t>
    <phoneticPr fontId="1" type="noConversion"/>
  </si>
  <si>
    <t>- 오디오 볼륨을 1로 설정한다.
- 오디오 볼륨 증가 버튼을 빠른 속도로 10회 누른다.(5초 이내)</t>
    <phoneticPr fontId="1" type="noConversion"/>
  </si>
  <si>
    <t>- 오디오 볼륨이 10의로 설정되지 않아야 한다.</t>
    <phoneticPr fontId="1" type="noConversion"/>
  </si>
  <si>
    <t>- 외부기 필수 성능 시험 결과가 통과 되어야 한다.</t>
    <phoneticPr fontId="1" type="noConversion"/>
  </si>
  <si>
    <t>- 외부기 필수 성능 시험 보고서 결과 확인</t>
    <phoneticPr fontId="1" type="noConversion"/>
  </si>
  <si>
    <t>- 실시간 신호처리 DEBUGGING 모드 적용
- 개발보드에서 프로그램 실행</t>
    <phoneticPr fontId="1" type="noConversion"/>
  </si>
  <si>
    <t>- 내부기 출력 측정 PBS 지그에 결합된 내부기
- 내부기 출력 측정 PBS 지그에 연결된 오실로스코프
- 전원공급기에 연결된 개발보드
- 전원이 켜진상태로 내부기에 부착된 외부기
- 개발보드가 리모콘 앱으로 연결된 상태.</t>
    <phoneticPr fontId="1" type="noConversion"/>
  </si>
  <si>
    <t>- SW-FW-SYS-Test-ID-25~SW-FW-SYS-Test-ID-34의 시험 결과가 통과되어야 한다.
(블루투스 LE 통신은 CRC 적용 프로토콜)</t>
    <phoneticPr fontId="1" type="noConversion"/>
  </si>
  <si>
    <t>- 동일한 색상의 LED 켜짐 반복이 시간 간격으로 분류는 패턴이 있을 경우,  구분이 되는지 확인한다.</t>
    <phoneticPr fontId="1" type="noConversion"/>
  </si>
  <si>
    <t>- 쉽게 구분이 가능해야한다.</t>
    <phoneticPr fontId="1" type="noConversion"/>
  </si>
  <si>
    <t>- 경고 및 즉각적인 중지가 필요한 색상은 붉은 색, 주의를 요하는 경우 주황색이 적용되었는지 확인한다.</t>
    <phoneticPr fontId="1" type="noConversion"/>
  </si>
  <si>
    <t>- 에러 및 고장은 붉은색, 주의갈 필요한 사항에는 주황색이 적용되어야한다.</t>
    <phoneticPr fontId="1" type="noConversion"/>
  </si>
  <si>
    <t>매핑 앱과의 블루투스 통신</t>
    <phoneticPr fontId="1" type="noConversion"/>
  </si>
  <si>
    <t>-매핑 제어 관련 시험 결과를 확인한다.</t>
    <phoneticPr fontId="1" type="noConversion"/>
  </si>
  <si>
    <t>- SW-FW-SYS-Test-ID-35~SW-FW-SYS-Test-ID-40의 시험 결과가 통과되어야 한다.</t>
    <phoneticPr fontId="1" type="noConversion"/>
  </si>
  <si>
    <t>- 내부기 출력 측정 PBS 지그에 결합된 내부기
- 내부기 출력 측정 PBS 지그에 연결된 오실로스코프
- 전원공급기에 연결된 외부기
- 전원이 켜진상태로 내부기에 부착된 외부기
- 외부기가 매핑 앱으로 연결된 상태.</t>
    <phoneticPr fontId="1" type="noConversion"/>
  </si>
  <si>
    <t xml:space="preserve">매핑 프로그램에 의한 특정 자극 출력 </t>
    <phoneticPr fontId="1" type="noConversion"/>
  </si>
  <si>
    <t xml:space="preserve">매핑 프로그램에 의한 실시간 자극 진행 </t>
    <phoneticPr fontId="1" type="noConversion"/>
  </si>
  <si>
    <t>매핑 프로그램으로 시스템 상태 전송</t>
    <phoneticPr fontId="1" type="noConversion"/>
  </si>
  <si>
    <t>매핑 프로그램으로 실시간 자극 상태 전송</t>
    <phoneticPr fontId="1" type="noConversion"/>
  </si>
  <si>
    <t>- 매핑 앱으로 시스템 상태 읽기 명령을 전송한다.</t>
    <phoneticPr fontId="1" type="noConversion"/>
  </si>
  <si>
    <t>매핑 프로그램으로 특정 자극 출력 결과 전송</t>
    <phoneticPr fontId="1" type="noConversion"/>
  </si>
  <si>
    <t>- 매핑 앱으로 특정 자극 출력 명령을 전송한다.
- 오실로스코프로 자극 출력을 관찰한다.</t>
    <phoneticPr fontId="1" type="noConversion"/>
  </si>
  <si>
    <t>- 매핑 프로그램으로 실시간 자극 출력 명령을 전송한다.
- 오실로스코프로 자극 출력을 관찰한다.</t>
    <phoneticPr fontId="1" type="noConversion"/>
  </si>
  <si>
    <t>- 디버깅용 리모콘 앱</t>
    <phoneticPr fontId="1" type="noConversion"/>
  </si>
  <si>
    <t>- 프로토콜에 맞지 않게 데이터 개수를 적게하여 외부기에 전송한다.</t>
    <phoneticPr fontId="1" type="noConversion"/>
  </si>
  <si>
    <t>- 에러 메시지가 리모콘 앱으로 수신되어야 한다.</t>
    <phoneticPr fontId="1" type="noConversion"/>
  </si>
  <si>
    <t>시험 준비 및 초기 조건</t>
    <phoneticPr fontId="1" type="noConversion"/>
  </si>
  <si>
    <t>-퓨어톤 오디오 발생기 사용</t>
    <phoneticPr fontId="1" type="noConversion"/>
  </si>
  <si>
    <t>- 오디오 데이터가 들려야한다.</t>
    <phoneticPr fontId="1" type="noConversion"/>
  </si>
  <si>
    <t>1000Hz, 허용오차 5%</t>
    <phoneticPr fontId="1" type="noConversion"/>
  </si>
  <si>
    <t>볼륨 값을 변경하면서 스피커 출력을 들어 본다.</t>
    <phoneticPr fontId="1" type="noConversion"/>
  </si>
  <si>
    <t>스피커 출력으로 볼륨의 변화를 확인 할 수 있어야 한다.</t>
    <phoneticPr fontId="1" type="noConversion"/>
  </si>
  <si>
    <t>구현 코드 확인</t>
    <phoneticPr fontId="1" type="noConversion"/>
  </si>
  <si>
    <t>FFT 방식으로 주파수 성분 분석이 구현되어함.</t>
    <phoneticPr fontId="1" type="noConversion"/>
  </si>
  <si>
    <t>- 텔레코일 활성화</t>
    <phoneticPr fontId="1" type="noConversion"/>
  </si>
  <si>
    <t>- 피에조가 망가진 이어폰으로 음악을 재생한다.</t>
    <phoneticPr fontId="1" type="noConversion"/>
  </si>
  <si>
    <t>- 주변 소리와 음악소리가 보드의 출력으로 들려야한다.</t>
    <phoneticPr fontId="1" type="noConversion"/>
  </si>
  <si>
    <t>- 스피커로 오디오를 청취한다.</t>
    <phoneticPr fontId="1" type="noConversion"/>
  </si>
  <si>
    <t>- 오디오 발생기로 100Hz, 8000Hz 주파수의 음향을 발생시키고, 스피커 출력을 청취한다.</t>
    <phoneticPr fontId="1" type="noConversion"/>
  </si>
  <si>
    <t>-32채널 사용</t>
    <phoneticPr fontId="1" type="noConversion"/>
  </si>
  <si>
    <t>- 채널번호 증가에 따라 자극 크기가 증가한는 맵 적용</t>
    <phoneticPr fontId="1" type="noConversion"/>
  </si>
  <si>
    <t>- 3.7V에서는 LED가 녹색으로 점멸 또는 점등해야한다.
- 3.4V에서는 LED가 노란색으로 점멸 또는 점등해야하 한다.</t>
    <phoneticPr fontId="1" type="noConversion"/>
  </si>
  <si>
    <t>- 전원 공급기의 전원을 3.7V로 설정하고, 외부기 전원을 켜고 LED 패턴을 확인한다.
- 내부기와 결합하고 LED 패턴을 확인한다.
- 전원 공급기의 전원을 3.5~3.4V로 변경하고 LED 패턴을 확인한다.
- 내부기와 결합을 해제하고 LED 패턴을 확인한다.</t>
    <phoneticPr fontId="1" type="noConversion"/>
  </si>
  <si>
    <t>- 전원 켜짐 상태 표시 후, 대기 LED 패턴이 확인되어야 한다.
- 내부기와 연결되면 정상 동작 LED 패턴이 확인되어야 한다.</t>
    <phoneticPr fontId="1" type="noConversion"/>
  </si>
  <si>
    <t>- 전원 공급기의 전원을 3.7V로 설정하고, 개발보드의 전원을 켠다.
- 전원 공급긱의 전원을 3.5~3.4V까지 천천히 조정하면서 리모콘에 표시되는 배터리 잔량을 모니터링한다.</t>
    <phoneticPr fontId="1" type="noConversion"/>
  </si>
  <si>
    <t>- 매핑 프로그램으로 실시간 자극 출력 명령을 전송한다.</t>
    <phoneticPr fontId="1" type="noConversion"/>
  </si>
  <si>
    <t>- 응답 데이터가 확인되어야 한다.</t>
    <phoneticPr fontId="1" type="noConversion"/>
  </si>
  <si>
    <t>매핑 프로그램에 의한 시스템 상태 읽기</t>
    <phoneticPr fontId="1" type="noConversion"/>
  </si>
  <si>
    <t>- 오실로 스코프로 특정 자극 출력이 확인되어야 한다.</t>
    <phoneticPr fontId="1" type="noConversion"/>
  </si>
  <si>
    <t>- 오실로 스코프로 실시간 자극 출력이 관찰되어야 한다.</t>
    <phoneticPr fontId="1" type="noConversion"/>
  </si>
  <si>
    <t>- 외부기를 켠다</t>
    <phoneticPr fontId="1" type="noConversion"/>
  </si>
  <si>
    <t>-내부기와 연결되지 않은 전원이 꺼진  외부기</t>
    <phoneticPr fontId="1" type="noConversion"/>
  </si>
  <si>
    <t>- 내부기와 연결되지 않은 상태에서 녹색 LED가 점등되어야 한다.</t>
    <phoneticPr fontId="1" type="noConversion"/>
  </si>
  <si>
    <t>음향 신호의 주파수에 해당하는 내부기 채널의 출력이 확인되어야한다.
(7068, 7473)</t>
    <phoneticPr fontId="1" type="noConversion"/>
  </si>
  <si>
    <t xml:space="preserve"> 1msec 안에 신호처리가 완료되어야 한다.</t>
    <phoneticPr fontId="1" type="noConversion"/>
  </si>
  <si>
    <t>- 디버깅용 출력을 오실로 스코프로 측정한다.</t>
    <phoneticPr fontId="1" type="noConversion"/>
  </si>
  <si>
    <t>소프트웨어 식별 이름 :</t>
    <phoneticPr fontId="1" type="noConversion"/>
  </si>
  <si>
    <t>소프트웨어 버전 :</t>
    <phoneticPr fontId="1" type="noConversion"/>
  </si>
  <si>
    <t>1.0.0</t>
    <phoneticPr fontId="1" type="noConversion"/>
  </si>
  <si>
    <t xml:space="preserve">2. 동작 하드웨어 </t>
    <phoneticPr fontId="1" type="noConversion"/>
  </si>
  <si>
    <t>OTE_GEN1_Proto3</t>
    <phoneticPr fontId="1" type="noConversion"/>
  </si>
  <si>
    <t>장비 및 지그, 소프트웨어 툴</t>
    <phoneticPr fontId="1" type="noConversion"/>
  </si>
  <si>
    <t>사용목적</t>
    <phoneticPr fontId="1" type="noConversion"/>
  </si>
  <si>
    <t>오실로스코프</t>
    <phoneticPr fontId="1" type="noConversion"/>
  </si>
  <si>
    <t>인공달팽이과 외부기 시제품 3차(OTE 시제품 버전 3)</t>
    <phoneticPr fontId="1" type="noConversion"/>
  </si>
  <si>
    <t>자극 출력 파형을 측정한다.</t>
    <phoneticPr fontId="1" type="noConversion"/>
  </si>
  <si>
    <t>전원공급기</t>
    <phoneticPr fontId="1" type="noConversion"/>
  </si>
  <si>
    <t>하드웨어에 특정 전압을 공급한다.</t>
    <phoneticPr fontId="1" type="noConversion"/>
  </si>
  <si>
    <t>내부기 출력 측정 지그</t>
    <phoneticPr fontId="1" type="noConversion"/>
  </si>
  <si>
    <t>자극 출력 파형을 생성한다.</t>
    <phoneticPr fontId="1" type="noConversion"/>
  </si>
  <si>
    <t>스피커</t>
    <phoneticPr fontId="1" type="noConversion"/>
  </si>
  <si>
    <t>음향 신호를 생성한다.</t>
    <phoneticPr fontId="1" type="noConversion"/>
  </si>
  <si>
    <t>음악 재생기(PC)</t>
    <phoneticPr fontId="1" type="noConversion"/>
  </si>
  <si>
    <t xml:space="preserve">   음악 파일을 재생한다.</t>
    <phoneticPr fontId="1" type="noConversion"/>
  </si>
  <si>
    <t>음악 파일</t>
    <phoneticPr fontId="1" type="noConversion"/>
  </si>
  <si>
    <t>시험에 필요한 특정 주파수 신호 파일</t>
    <phoneticPr fontId="1" type="noConversion"/>
  </si>
  <si>
    <t>BLE 보드(NRF52x)</t>
    <phoneticPr fontId="1" type="noConversion"/>
  </si>
  <si>
    <t>리모콘 앱 및 동작 스마트폰</t>
    <phoneticPr fontId="1" type="noConversion"/>
  </si>
  <si>
    <t>매핑 앱 및 동작 테블릿</t>
    <phoneticPr fontId="1" type="noConversion"/>
  </si>
  <si>
    <t>리모콘 및 매핑 프로그램과 통신을 수행하기 위한 블루투스 통신 장치
(송수신 패킷 확인)</t>
    <phoneticPr fontId="1" type="noConversion"/>
  </si>
  <si>
    <t>리모콘 제어 동작 확인</t>
    <phoneticPr fontId="1" type="noConversion"/>
  </si>
  <si>
    <t>매핑 제어 동작 확인</t>
    <phoneticPr fontId="1" type="noConversion"/>
  </si>
  <si>
    <t>3. 필요 장비 및 지그</t>
    <phoneticPr fontId="1" type="noConversion"/>
  </si>
  <si>
    <t>1. 시험 대상 소프트웨어</t>
    <phoneticPr fontId="1" type="noConversion"/>
  </si>
  <si>
    <t>I2C 디버거(AMIS CCA)</t>
    <phoneticPr fontId="1" type="noConversion"/>
  </si>
  <si>
    <t>Ezairo system 디버깅 장치</t>
    <phoneticPr fontId="1" type="noConversion"/>
  </si>
  <si>
    <t>EDK Ezairo</t>
    <phoneticPr fontId="1" type="noConversion"/>
  </si>
  <si>
    <t>Ezairo system 코딩, 컴파일, 링크, 다운로드 및 디버깅 프로그램 툴</t>
    <phoneticPr fontId="1" type="noConversion"/>
  </si>
  <si>
    <r>
      <rPr>
        <b/>
        <sz val="14"/>
        <rFont val="맑은 고딕"/>
        <family val="3"/>
        <charset val="129"/>
        <scheme val="minor"/>
      </rPr>
      <t>시스템 시험 기준서</t>
    </r>
    <r>
      <rPr>
        <sz val="14"/>
        <rFont val="맑은 고딕"/>
        <family val="3"/>
        <charset val="129"/>
        <scheme val="minor"/>
      </rPr>
      <t xml:space="preserve">
</t>
    </r>
    <r>
      <rPr>
        <sz val="11"/>
        <rFont val="맑은 고딕"/>
        <family val="3"/>
        <charset val="129"/>
        <scheme val="minor"/>
      </rPr>
      <t>인공달팽이관 외부장치 펌</t>
    </r>
    <r>
      <rPr>
        <sz val="11"/>
        <color theme="1"/>
        <rFont val="맑은 고딕"/>
        <family val="3"/>
        <charset val="129"/>
        <scheme val="minor"/>
      </rPr>
      <t xml:space="preserve">웨어 </t>
    </r>
    <phoneticPr fontId="1" type="noConversion"/>
  </si>
  <si>
    <t>5. 시험 내용</t>
    <phoneticPr fontId="1" type="noConversion"/>
  </si>
  <si>
    <t>4. 시험 진행 조건</t>
    <phoneticPr fontId="1" type="noConversion"/>
  </si>
  <si>
    <t>시험자를 식별하여 시험보고서에 기록할 것</t>
    <phoneticPr fontId="1" type="noConversion"/>
  </si>
  <si>
    <t>7. 시험 기준 검증</t>
    <phoneticPr fontId="1" type="noConversion"/>
  </si>
  <si>
    <t>- 시험자가 실벽 되는가?</t>
    <phoneticPr fontId="1" type="noConversion"/>
  </si>
  <si>
    <t xml:space="preserve">  : 예</t>
    <phoneticPr fontId="1" type="noConversion"/>
  </si>
  <si>
    <t>- 사용한 검증 전략과 시험절차가 적절한가?</t>
    <phoneticPr fontId="1" type="noConversion"/>
  </si>
  <si>
    <t xml:space="preserve"> : 예</t>
    <phoneticPr fontId="1" type="noConversion"/>
  </si>
  <si>
    <t>- 시스템 시험이 모든 소프트웨어 요구사항을 포함해야 하고, 추적이 가증한가?</t>
    <phoneticPr fontId="1" type="noConversion"/>
  </si>
  <si>
    <t>- 모든 결과를 반영한 최종 합격/불합격 판단을 포함하는가?</t>
    <phoneticPr fontId="1" type="noConversion"/>
  </si>
  <si>
    <t>: 모든 시험 항목의 합격/불합격을 반영하여 판단 결론을 내려야한다.</t>
    <phoneticPr fontId="1" type="noConversion"/>
  </si>
  <si>
    <t>제어 명령이 프로토콜에 맞게 전송되어야 실행한다.</t>
  </si>
  <si>
    <t>임정우</t>
    <phoneticPr fontId="3" type="noConversion"/>
  </si>
  <si>
    <t>이호승</t>
    <phoneticPr fontId="3" type="noConversion"/>
  </si>
  <si>
    <t>6. 최종 통과 기준</t>
    <phoneticPr fontId="1" type="noConversion"/>
  </si>
  <si>
    <t xml:space="preserve">- 활성화된 자극 채널수 : 24개 이하
- 자극 채널을 확인할 수 있는 맵 데이터 적용
</t>
    <phoneticPr fontId="1" type="noConversion"/>
  </si>
  <si>
    <t>자극 출력 범위</t>
    <phoneticPr fontId="1" type="noConversion"/>
  </si>
  <si>
    <t xml:space="preserve">- 매핑 앱으로 특정 자극 출력 명령을 전송한다.
</t>
    <phoneticPr fontId="1" type="noConversion"/>
  </si>
  <si>
    <t xml:space="preserve">- 내부기 출력 측정 PBS 지그에 결합된 내부기
- 내부기 출력 측정 PBS 지그에 연결된 오실로스코프
</t>
    <phoneticPr fontId="1" type="noConversion"/>
  </si>
  <si>
    <t>등록된 내부이식장치와만 근접 무선 통신을 연결한다.</t>
  </si>
  <si>
    <t>-등록된 내부이시장치와의 근접 무선 통신 허용</t>
    <phoneticPr fontId="1" type="noConversion"/>
  </si>
  <si>
    <t>- 외부기 매핑데이터에 등록된 내부기와 등록되지 않은 내부기를 외부기에 부착하고 연결 상태를 확인한다.</t>
    <phoneticPr fontId="1" type="noConversion"/>
  </si>
  <si>
    <t>- 등록된 내부기와 외부기가 결합되면 외부기의 녹색 LED가 점멸해야한다.
- 등록되지 않은 내부기와 외부기가 결합되면 외부기의 녹색 LED가 점등되어야 한다.</t>
    <phoneticPr fontId="1" type="noConversion"/>
  </si>
  <si>
    <t>블투투스 통신에 페어링 기능을 사용한 데이터 보안 구축</t>
    <phoneticPr fontId="1" type="noConversion"/>
  </si>
  <si>
    <t xml:space="preserve">설정 데이터의 유효 범위 확인 및 에러 모드 </t>
    <phoneticPr fontId="1" type="noConversion"/>
  </si>
  <si>
    <t>- 유효범위를 벗어난 매핑 데이터 사용</t>
    <phoneticPr fontId="1" type="noConversion"/>
  </si>
  <si>
    <t>- 유효 범위를 벗어난 매핑데이터를 외부기에 적요하고 전원을 켠다.</t>
    <phoneticPr fontId="1" type="noConversion"/>
  </si>
  <si>
    <t>- 에러 표시가 확인되어야 한다.</t>
    <phoneticPr fontId="1" type="noConversion"/>
  </si>
  <si>
    <t>소프트웨어 유지 보수 절차를 따른다.</t>
    <phoneticPr fontId="1" type="noConversion"/>
  </si>
  <si>
    <t>I</t>
    <phoneticPr fontId="1" type="noConversion"/>
  </si>
  <si>
    <t>소프트웨어 유지 보수 절차서를 확인한다.</t>
    <phoneticPr fontId="1" type="noConversion"/>
  </si>
  <si>
    <t>- 사이버보안 취약성 확인데 따른 업데이트 절차가 있어야한다.</t>
    <phoneticPr fontId="1" type="noConversion"/>
  </si>
  <si>
    <t>전원커넥터 연결확인</t>
    <phoneticPr fontId="1" type="noConversion"/>
  </si>
  <si>
    <t>배터리 잔량 표시</t>
    <phoneticPr fontId="1" type="noConversion"/>
  </si>
  <si>
    <t>이어피스 연결 상태 표시</t>
    <phoneticPr fontId="1" type="noConversion"/>
  </si>
  <si>
    <t>- 이어피스를 연결하면서 외부기 LED 페턴을 확인한다.</t>
    <phoneticPr fontId="1" type="noConversion"/>
  </si>
  <si>
    <t>- 이어피스가 연결되면 파란색 LED가 점멸되고, 다시 원래 LED 패턴으로 변경되어야 한다.</t>
    <phoneticPr fontId="1" type="noConversion"/>
  </si>
  <si>
    <t>시동과정에서 자극 정지</t>
    <phoneticPr fontId="1" type="noConversion"/>
  </si>
  <si>
    <t>- 오실로스코프로 내부기의 출력을 확인한다.
- 내부기에 외부기를 부착하면서 출력파형을 확인한다.</t>
    <phoneticPr fontId="1" type="noConversion"/>
  </si>
  <si>
    <t>- 외부기와 내부기가 부착되는 과정에서 이상 출력이 확인되지 않아야 한다.</t>
    <phoneticPr fontId="1" type="noConversion"/>
  </si>
  <si>
    <t>종료과정에서 자극 정지</t>
    <phoneticPr fontId="1" type="noConversion"/>
  </si>
  <si>
    <t>- 내부기와 외부기가 부착된 상태에서 오실로스코프로 내부기의 출력을 확인한다.
- 외부기와 내부기를 탈착하면서 출력파형을 확인한다.</t>
    <phoneticPr fontId="1" type="noConversion"/>
  </si>
  <si>
    <t>- 외부기와 내부기가 탈착되는 과정에서 이상 출력이 확인되지 않아야 한다.</t>
    <phoneticPr fontId="1" type="noConversion"/>
  </si>
  <si>
    <t>실행파일 크기</t>
    <phoneticPr fontId="1" type="noConversion"/>
  </si>
  <si>
    <t>I</t>
    <phoneticPr fontId="1" type="noConversion"/>
  </si>
  <si>
    <t>컴파일된 실행코드 사이즈를 확인한다.</t>
    <phoneticPr fontId="1" type="noConversion"/>
  </si>
  <si>
    <t>실행코드 사이즈가 18430words를 넘지 않아야한다.</t>
    <phoneticPr fontId="1" type="noConversion"/>
  </si>
  <si>
    <t>소속/부서</t>
    <phoneticPr fontId="3" type="noConversion"/>
  </si>
  <si>
    <t>성명</t>
    <phoneticPr fontId="3" type="noConversion"/>
  </si>
  <si>
    <t>일자</t>
    <phoneticPr fontId="3" type="noConversion"/>
  </si>
  <si>
    <t>토닥/인공와우사업부</t>
    <phoneticPr fontId="3" type="noConversion"/>
  </si>
  <si>
    <t>토닥</t>
    <phoneticPr fontId="3" type="noConversion"/>
  </si>
  <si>
    <t>SSTC-FW-TD20B</t>
    <phoneticPr fontId="3" type="noConversion"/>
  </si>
  <si>
    <t>소프트웨어 시스템 테스트 기준서
(TD20B-A-EXT)</t>
    <phoneticPr fontId="3" type="noConversion"/>
  </si>
  <si>
    <t>2020.11.30</t>
    <phoneticPr fontId="3" type="noConversion"/>
  </si>
  <si>
    <t>Rev. 1</t>
    <phoneticPr fontId="3" type="noConversion"/>
  </si>
  <si>
    <t>2021.10.21</t>
    <phoneticPr fontId="1" type="noConversion"/>
  </si>
  <si>
    <t>2021.10.21</t>
    <phoneticPr fontId="3" type="noConversion"/>
  </si>
  <si>
    <t>최초 작성
(합격기준 수립)</t>
    <phoneticPr fontId="3" type="noConversion"/>
  </si>
  <si>
    <t>시험 환경 및 방법 등 상세 수립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</si>
</sst>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1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2"/>
      <color theme="1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8" fillId="0" borderId="1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49" fontId="8" fillId="0" borderId="16" xfId="0" applyNumberFormat="1" applyFont="1" applyBorder="1" applyAlignment="1">
      <alignment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6" xfId="0" applyNumberForma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2" fillId="0" borderId="1" xfId="0" applyNumberFormat="1" applyFont="1" applyBorder="1" applyAlignment="1">
      <alignment vertical="center" wrapText="1"/>
    </xf>
    <xf numFmtId="49" fontId="12" fillId="0" borderId="16" xfId="0" applyNumberFormat="1" applyFont="1" applyBorder="1" applyAlignment="1">
      <alignment vertical="center" wrapText="1"/>
    </xf>
    <xf numFmtId="49" fontId="0" fillId="0" borderId="16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1" xfId="0" applyNumberForma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49" fontId="8" fillId="0" borderId="16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49" fontId="7" fillId="5" borderId="16" xfId="0" applyNumberFormat="1" applyFont="1" applyFill="1" applyBorder="1" applyAlignment="1">
      <alignment horizontal="center" vertical="center"/>
    </xf>
    <xf numFmtId="49" fontId="7" fillId="5" borderId="12" xfId="0" applyNumberFormat="1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 wrapText="1"/>
    </xf>
    <xf numFmtId="49" fontId="7" fillId="5" borderId="10" xfId="0" applyNumberFormat="1" applyFont="1" applyFill="1" applyBorder="1" applyAlignment="1">
      <alignment horizontal="center" vertical="center" wrapText="1"/>
    </xf>
    <xf numFmtId="49" fontId="7" fillId="5" borderId="11" xfId="0" applyNumberFormat="1" applyFont="1" applyFill="1" applyBorder="1" applyAlignment="1">
      <alignment horizontal="center" vertical="center" wrapText="1"/>
    </xf>
    <xf numFmtId="49" fontId="7" fillId="5" borderId="16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49" fontId="20" fillId="0" borderId="16" xfId="0" applyNumberFormat="1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228600</xdr:colOff>
      <xdr:row>11</xdr:row>
      <xdr:rowOff>31750</xdr:rowOff>
    </xdr:from>
    <xdr:to>
      <xdr:col>11</xdr:col>
      <xdr:colOff>146050</xdr:colOff>
      <xdr:row>12</xdr:row>
      <xdr:rowOff>203200</xdr:rowOff>
    </xdr:to>
    <xdr:pic>
      <xdr:nvPicPr>
        <xdr:cNvPr id="4" name="_x220564472">
          <a:extLst>
            <a:ext uri="{FF2B5EF4-FFF2-40B4-BE49-F238E27FC236}">
              <a16:creationId xmlns:a16="http://schemas.microsoft.com/office/drawing/2014/main" id="{24A80B14-00D0-48B7-A462-CF6BF8FF2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78300" y="2216150"/>
          <a:ext cx="882650" cy="387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393700</xdr:colOff>
      <xdr:row>15</xdr:row>
      <xdr:rowOff>38100</xdr:rowOff>
    </xdr:from>
    <xdr:to>
      <xdr:col>11</xdr:col>
      <xdr:colOff>215900</xdr:colOff>
      <xdr:row>16</xdr:row>
      <xdr:rowOff>196850</xdr:rowOff>
    </xdr:to>
    <xdr:pic>
      <xdr:nvPicPr>
        <xdr:cNvPr id="5" name="_x752701944">
          <a:extLst>
            <a:ext uri="{FF2B5EF4-FFF2-40B4-BE49-F238E27FC236}">
              <a16:creationId xmlns:a16="http://schemas.microsoft.com/office/drawing/2014/main" id="{E8DDA11B-96D7-4335-9903-A90A24408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0" y="3086100"/>
          <a:ext cx="7874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nyTodoc\(&#51452;)&#53664;&#45797;%20Dropbox\&#51064;&#44277;&#50752;&#50864;\DHF-&#51064;&#44277;&#50752;&#50864;\01_&#50808;&#48512;&#44592;\TD20B_A_EXT\000_&#50756;&#51228;&#54408;\02_&#49444;&#44228;%20&#51077;&#47141;\SW\&#54156;&#50920;&#50612;\SRS-FW-TD20B%20&#49548;&#54532;&#53944;&#50920;&#50612;%20&#50836;&#44396;&#49324;&#54637;%20&#49324;&#50577;&#49436;.xlsx" TargetMode="External"/><Relationship Id="rId1" Type="http://schemas.openxmlformats.org/officeDocument/2006/relationships/externalLinkPath" Target="/Users/johnnyTodoc/(&#51452;)&#53664;&#45797;%20Dropbox/&#51064;&#44277;&#50752;&#50864;/DHF-&#51064;&#44277;&#50752;&#50864;/01_&#50808;&#48512;&#44592;/TD20B_A_EXT/000_&#50756;&#51228;&#54408;/02_&#49444;&#44228;%20&#51077;&#47141;/SW/&#54156;&#50920;&#50612;/SRS-FW-TD20B%20&#49548;&#54532;&#53944;&#50920;&#50612;%20&#50836;&#44396;&#49324;&#54637;%20&#49324;&#50577;&#4943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소프트웨어 입력 요구사항 사양서"/>
    </sheetNames>
    <sheetDataSet>
      <sheetData sheetId="0"/>
      <sheetData sheetId="1">
        <row r="7">
          <cell r="G7" t="str">
            <v>SW-FW-RID-2</v>
          </cell>
        </row>
        <row r="8">
          <cell r="G8" t="str">
            <v>SW-FW-RID-3</v>
          </cell>
        </row>
        <row r="9">
          <cell r="G9" t="str">
            <v>SW-FW-RID-4</v>
          </cell>
        </row>
        <row r="10">
          <cell r="G10" t="str">
            <v>SW-FW-RID-5</v>
          </cell>
        </row>
        <row r="11">
          <cell r="G11" t="str">
            <v>SW-FW-RID-6</v>
          </cell>
        </row>
        <row r="12">
          <cell r="G12" t="str">
            <v>SW-FW-RID-7</v>
          </cell>
        </row>
        <row r="13">
          <cell r="G13" t="str">
            <v>SW-FW-RID-8</v>
          </cell>
        </row>
        <row r="14">
          <cell r="G14" t="str">
            <v>SW-FW-RID-9</v>
          </cell>
        </row>
        <row r="15">
          <cell r="G15" t="str">
            <v>SW-FW-RID-10</v>
          </cell>
        </row>
        <row r="16">
          <cell r="G16" t="str">
            <v>SW-FW-RID-11</v>
          </cell>
        </row>
        <row r="17">
          <cell r="G17" t="str">
            <v>SW-FW-RID-12</v>
          </cell>
        </row>
        <row r="18">
          <cell r="G18" t="str">
            <v>SW-FW-RID-13</v>
          </cell>
        </row>
        <row r="19">
          <cell r="G19" t="str">
            <v>SW-FW-RID-14</v>
          </cell>
        </row>
        <row r="20">
          <cell r="G20" t="str">
            <v>SW-FW-RID-15</v>
          </cell>
        </row>
        <row r="21">
          <cell r="G21" t="str">
            <v>SW-FW-RID-16</v>
          </cell>
        </row>
        <row r="22">
          <cell r="G22" t="str">
            <v>SW-FW-RID-17</v>
          </cell>
        </row>
        <row r="23">
          <cell r="G23" t="str">
            <v>SW-FW-RID-18</v>
          </cell>
        </row>
        <row r="24">
          <cell r="G24" t="str">
            <v>SW-FW-RID-19</v>
          </cell>
        </row>
        <row r="25">
          <cell r="G25" t="str">
            <v>SW-FW-RID-20</v>
          </cell>
        </row>
        <row r="26">
          <cell r="G26" t="str">
            <v>SW-FW-RID-21</v>
          </cell>
        </row>
        <row r="27">
          <cell r="G27" t="str">
            <v>SW-FW-RID-22</v>
          </cell>
        </row>
        <row r="28">
          <cell r="G28" t="str">
            <v>SW-FW-RID-23</v>
          </cell>
        </row>
        <row r="29">
          <cell r="G29" t="str">
            <v>SW-FW-RID-24</v>
          </cell>
        </row>
        <row r="30">
          <cell r="G30" t="str">
            <v>SW-FW-RID-25</v>
          </cell>
        </row>
        <row r="31">
          <cell r="G31" t="str">
            <v>SW-FW-RID-26</v>
          </cell>
        </row>
        <row r="32">
          <cell r="G32" t="str">
            <v>SW-FW-RID-27</v>
          </cell>
        </row>
        <row r="33">
          <cell r="G33" t="str">
            <v>SW-FW-RID-28</v>
          </cell>
        </row>
        <row r="34">
          <cell r="G34" t="str">
            <v>SW-FW-RID-29</v>
          </cell>
        </row>
        <row r="35">
          <cell r="G35" t="str">
            <v>SW-FW-RID-30</v>
          </cell>
        </row>
        <row r="36">
          <cell r="G36" t="str">
            <v>SW-FW-RID-31</v>
          </cell>
        </row>
        <row r="37">
          <cell r="G37" t="str">
            <v>SW-FW-RID-32</v>
          </cell>
        </row>
        <row r="38">
          <cell r="G38" t="str">
            <v>SW-FW-RID-33</v>
          </cell>
        </row>
        <row r="39">
          <cell r="G39" t="str">
            <v>SW-FW-RID-34</v>
          </cell>
        </row>
        <row r="40">
          <cell r="G40" t="str">
            <v>SW-FW-RID-35</v>
          </cell>
        </row>
        <row r="41">
          <cell r="G41" t="str">
            <v>SW-FW-RID-36</v>
          </cell>
        </row>
        <row r="42">
          <cell r="G42" t="str">
            <v>SW-FW-RID-37</v>
          </cell>
        </row>
        <row r="43">
          <cell r="G43" t="str">
            <v>SW-FW-RID-38</v>
          </cell>
        </row>
        <row r="44">
          <cell r="G44" t="str">
            <v>SW-FW-RID-39</v>
          </cell>
        </row>
        <row r="45">
          <cell r="G45" t="str">
            <v>SW-FW-RID-40</v>
          </cell>
        </row>
        <row r="46">
          <cell r="G46" t="str">
            <v>SW-FW-RID-41</v>
          </cell>
        </row>
        <row r="47">
          <cell r="G47" t="str">
            <v>SW-FW-RID-42</v>
          </cell>
        </row>
        <row r="48">
          <cell r="G48" t="str">
            <v>SW-FW-RID-43</v>
          </cell>
        </row>
        <row r="49">
          <cell r="G49" t="str">
            <v>SW-FW-RID-44</v>
          </cell>
        </row>
        <row r="50">
          <cell r="G50" t="str">
            <v>SW-FW-RID-45</v>
          </cell>
        </row>
        <row r="51">
          <cell r="G51" t="str">
            <v/>
          </cell>
        </row>
        <row r="53">
          <cell r="G53" t="str">
            <v>SW-FW-RID-47</v>
          </cell>
        </row>
        <row r="54">
          <cell r="G54" t="str">
            <v>SW-FW-RID-48</v>
          </cell>
        </row>
        <row r="55">
          <cell r="G55" t="str">
            <v>SW-FW-RID-49</v>
          </cell>
        </row>
        <row r="56">
          <cell r="G56" t="str">
            <v>SW-FW-RID-50</v>
          </cell>
        </row>
        <row r="57">
          <cell r="G57" t="str">
            <v>SW-FW-RID-51</v>
          </cell>
        </row>
        <row r="58">
          <cell r="G58" t="str">
            <v>SW-FW-RID-52</v>
          </cell>
        </row>
        <row r="59">
          <cell r="G59" t="str">
            <v>SW-FW-RID-53</v>
          </cell>
        </row>
        <row r="60">
          <cell r="G60" t="str">
            <v>SW-FW-RID-54</v>
          </cell>
        </row>
        <row r="61">
          <cell r="G61" t="str">
            <v>SW-FW-RID-55</v>
          </cell>
        </row>
        <row r="62">
          <cell r="G62" t="str">
            <v>SW-FW-RID-56</v>
          </cell>
        </row>
        <row r="68">
          <cell r="G68" t="str">
            <v>SW-FW-RID-57</v>
          </cell>
        </row>
        <row r="69">
          <cell r="G69" t="str">
            <v>SW-FW-RID-58</v>
          </cell>
        </row>
        <row r="70">
          <cell r="G70" t="str">
            <v>SW-FW-RID-59</v>
          </cell>
        </row>
        <row r="71">
          <cell r="G71" t="str">
            <v>SW-FW-RID-60</v>
          </cell>
        </row>
        <row r="72">
          <cell r="G72" t="str">
            <v>SW-FW-RID-61</v>
          </cell>
        </row>
        <row r="73">
          <cell r="G73" t="str">
            <v>SW-FW-RID-62</v>
          </cell>
        </row>
        <row r="74">
          <cell r="G74" t="str">
            <v>SW-FW-RID-63</v>
          </cell>
        </row>
        <row r="75">
          <cell r="G75" t="str">
            <v>SW-FW-RID-64</v>
          </cell>
        </row>
        <row r="76">
          <cell r="G76" t="str">
            <v>SW-FW-RID-65</v>
          </cell>
        </row>
        <row r="77">
          <cell r="G77" t="str">
            <v>SW-FW-RID-66</v>
          </cell>
        </row>
        <row r="78">
          <cell r="G78" t="str">
            <v>SW-FW-RID-67</v>
          </cell>
        </row>
        <row r="79">
          <cell r="G79" t="str">
            <v>SW-FW-RID-68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6"/>
  <sheetViews>
    <sheetView workbookViewId="0">
      <selection activeCell="F25" sqref="F25:O25"/>
    </sheetView>
  </sheetViews>
  <sheetFormatPr defaultColWidth="5.75" defaultRowHeight="17" x14ac:dyDescent="0.45"/>
  <cols>
    <col min="1" max="1" width="1.1640625" style="1" customWidth="1"/>
    <col min="2" max="15" width="6.33203125" style="1" customWidth="1"/>
    <col min="16" max="16" width="4.58203125" style="1" customWidth="1"/>
    <col min="17" max="17" width="1.08203125" style="1" customWidth="1"/>
    <col min="18" max="42" width="5.75" style="1"/>
    <col min="43" max="43" width="7.83203125" style="1" bestFit="1" customWidth="1"/>
    <col min="44" max="16384" width="5.75" style="1"/>
  </cols>
  <sheetData>
    <row r="1" spans="2:30" ht="3" customHeight="1" x14ac:dyDescent="0.45"/>
    <row r="2" spans="2:30" x14ac:dyDescent="0.45">
      <c r="J2" s="60" t="s">
        <v>0</v>
      </c>
      <c r="K2" s="61"/>
      <c r="L2" s="61" t="s">
        <v>301</v>
      </c>
      <c r="M2" s="61"/>
      <c r="N2" s="61"/>
      <c r="O2" s="61"/>
      <c r="P2" s="7"/>
    </row>
    <row r="3" spans="2:30" x14ac:dyDescent="0.45">
      <c r="J3" s="61" t="s">
        <v>1</v>
      </c>
      <c r="K3" s="61"/>
      <c r="L3" s="61" t="s">
        <v>304</v>
      </c>
      <c r="M3" s="61"/>
      <c r="N3" s="61"/>
      <c r="O3" s="61"/>
      <c r="P3" s="7"/>
    </row>
    <row r="4" spans="2:30" ht="17.5" thickBot="1" x14ac:dyDescent="0.5"/>
    <row r="5" spans="2:30" x14ac:dyDescent="0.45">
      <c r="B5" s="62" t="s">
        <v>302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4"/>
      <c r="Y5" s="54"/>
      <c r="Z5" s="55"/>
      <c r="AA5" s="55"/>
      <c r="AB5" s="55"/>
      <c r="AC5" s="55"/>
      <c r="AD5" s="55"/>
    </row>
    <row r="6" spans="2:30" ht="16.5" customHeight="1" x14ac:dyDescent="0.45">
      <c r="B6" s="65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7"/>
      <c r="Y6" s="55"/>
      <c r="Z6" s="55"/>
      <c r="AA6" s="55"/>
      <c r="AB6" s="55"/>
      <c r="AC6" s="55"/>
      <c r="AD6" s="55"/>
    </row>
    <row r="7" spans="2:30" ht="16.5" customHeight="1" x14ac:dyDescent="0.45">
      <c r="B7" s="65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7"/>
    </row>
    <row r="8" spans="2:30" ht="16.5" customHeight="1" thickBot="1" x14ac:dyDescent="0.5">
      <c r="B8" s="68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70"/>
    </row>
    <row r="9" spans="2:30" ht="16.5" customHeight="1" x14ac:dyDescent="0.45"/>
    <row r="10" spans="2:30" ht="17.25" customHeight="1" x14ac:dyDescent="0.45"/>
    <row r="11" spans="2:30" ht="17.5" x14ac:dyDescent="0.45">
      <c r="B11" s="53"/>
      <c r="C11" s="53"/>
      <c r="D11" s="56" t="s">
        <v>296</v>
      </c>
      <c r="E11" s="56"/>
      <c r="F11" s="56"/>
      <c r="G11" s="56"/>
      <c r="H11" s="56" t="s">
        <v>297</v>
      </c>
      <c r="I11" s="56"/>
      <c r="J11" s="56" t="s">
        <v>5</v>
      </c>
      <c r="K11" s="56"/>
      <c r="L11" s="56"/>
      <c r="M11" s="56" t="s">
        <v>298</v>
      </c>
      <c r="N11" s="56"/>
      <c r="O11" s="56"/>
    </row>
    <row r="12" spans="2:30" x14ac:dyDescent="0.45">
      <c r="B12" s="53" t="s">
        <v>2</v>
      </c>
      <c r="C12" s="53"/>
      <c r="D12" s="48" t="s">
        <v>299</v>
      </c>
      <c r="E12" s="48"/>
      <c r="F12" s="48"/>
      <c r="G12" s="48"/>
      <c r="H12" s="48" t="s">
        <v>261</v>
      </c>
      <c r="I12" s="48"/>
      <c r="J12" s="48"/>
      <c r="K12" s="48"/>
      <c r="L12" s="48"/>
      <c r="M12" s="48" t="s">
        <v>306</v>
      </c>
      <c r="N12" s="48"/>
      <c r="O12" s="48"/>
    </row>
    <row r="13" spans="2:30" x14ac:dyDescent="0.45">
      <c r="B13" s="53"/>
      <c r="C13" s="53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</row>
    <row r="14" spans="2:30" x14ac:dyDescent="0.45">
      <c r="B14" s="53" t="s">
        <v>3</v>
      </c>
      <c r="C14" s="53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</row>
    <row r="15" spans="2:30" x14ac:dyDescent="0.45">
      <c r="B15" s="53"/>
      <c r="C15" s="53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</row>
    <row r="16" spans="2:30" ht="17" customHeight="1" x14ac:dyDescent="0.45">
      <c r="B16" s="53" t="s">
        <v>4</v>
      </c>
      <c r="C16" s="53"/>
      <c r="D16" s="48" t="s">
        <v>300</v>
      </c>
      <c r="E16" s="48"/>
      <c r="F16" s="48"/>
      <c r="G16" s="48"/>
      <c r="H16" s="48" t="s">
        <v>262</v>
      </c>
      <c r="I16" s="48"/>
      <c r="J16" s="48"/>
      <c r="K16" s="48"/>
      <c r="L16" s="48"/>
      <c r="M16" s="48" t="s">
        <v>306</v>
      </c>
      <c r="N16" s="48"/>
      <c r="O16" s="48"/>
    </row>
    <row r="17" spans="2:15" ht="17" customHeight="1" x14ac:dyDescent="0.45">
      <c r="B17" s="53"/>
      <c r="C17" s="53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</row>
    <row r="18" spans="2:15" ht="16.5" customHeight="1" x14ac:dyDescent="0.45"/>
    <row r="19" spans="2:15" x14ac:dyDescent="0.45">
      <c r="L19"/>
    </row>
    <row r="22" spans="2:15" x14ac:dyDescent="0.45">
      <c r="B22" s="50" t="s">
        <v>6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2"/>
    </row>
    <row r="23" spans="2:15" x14ac:dyDescent="0.45">
      <c r="B23" s="48" t="s">
        <v>7</v>
      </c>
      <c r="C23" s="48"/>
      <c r="D23" s="48" t="s">
        <v>8</v>
      </c>
      <c r="E23" s="48"/>
      <c r="F23" s="48" t="s">
        <v>9</v>
      </c>
      <c r="G23" s="48"/>
      <c r="H23" s="48"/>
      <c r="I23" s="48"/>
      <c r="J23" s="48"/>
      <c r="K23" s="48"/>
      <c r="L23" s="48"/>
      <c r="M23" s="48"/>
      <c r="N23" s="48"/>
      <c r="O23" s="48"/>
    </row>
    <row r="24" spans="2:15" ht="32.5" customHeight="1" x14ac:dyDescent="0.45">
      <c r="B24" s="48">
        <v>0</v>
      </c>
      <c r="C24" s="48"/>
      <c r="D24" s="48" t="s">
        <v>303</v>
      </c>
      <c r="E24" s="48"/>
      <c r="F24" s="49" t="s">
        <v>307</v>
      </c>
      <c r="G24" s="48"/>
      <c r="H24" s="48"/>
      <c r="I24" s="48"/>
      <c r="J24" s="48"/>
      <c r="K24" s="48"/>
      <c r="L24" s="48"/>
      <c r="M24" s="48"/>
      <c r="N24" s="48"/>
      <c r="O24" s="48"/>
    </row>
    <row r="25" spans="2:15" x14ac:dyDescent="0.45">
      <c r="B25" s="48">
        <v>1</v>
      </c>
      <c r="C25" s="48"/>
      <c r="D25" s="48" t="s">
        <v>305</v>
      </c>
      <c r="E25" s="48"/>
      <c r="F25" s="49" t="s">
        <v>308</v>
      </c>
      <c r="G25" s="48"/>
      <c r="H25" s="48"/>
      <c r="I25" s="48"/>
      <c r="J25" s="48"/>
      <c r="K25" s="48"/>
      <c r="L25" s="48"/>
      <c r="M25" s="48"/>
      <c r="N25" s="48"/>
      <c r="O25" s="48"/>
    </row>
    <row r="26" spans="2:15" x14ac:dyDescent="0.45"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2:15" x14ac:dyDescent="0.45"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</row>
    <row r="28" spans="2:15" x14ac:dyDescent="0.45"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</row>
    <row r="29" spans="2:15" x14ac:dyDescent="0.45"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</row>
    <row r="30" spans="2:15" x14ac:dyDescent="0.45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</row>
    <row r="31" spans="2:15" x14ac:dyDescent="0.45"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</row>
    <row r="32" spans="2:15" x14ac:dyDescent="0.45"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</row>
    <row r="33" spans="2:15" x14ac:dyDescent="0.45">
      <c r="B33" s="57"/>
      <c r="C33" s="58"/>
      <c r="D33" s="57"/>
      <c r="E33" s="58"/>
      <c r="F33" s="57"/>
      <c r="G33" s="59"/>
      <c r="H33" s="59"/>
      <c r="I33" s="59"/>
      <c r="J33" s="59"/>
      <c r="K33" s="59"/>
      <c r="L33" s="59"/>
      <c r="M33" s="59"/>
      <c r="N33" s="59"/>
      <c r="O33" s="58"/>
    </row>
    <row r="34" spans="2:15" x14ac:dyDescent="0.45">
      <c r="B34" s="57"/>
      <c r="C34" s="58"/>
      <c r="D34" s="57"/>
      <c r="E34" s="58"/>
      <c r="F34" s="57"/>
      <c r="G34" s="59"/>
      <c r="H34" s="59"/>
      <c r="I34" s="59"/>
      <c r="J34" s="59"/>
      <c r="K34" s="59"/>
      <c r="L34" s="59"/>
      <c r="M34" s="59"/>
      <c r="N34" s="59"/>
      <c r="O34" s="58"/>
    </row>
    <row r="35" spans="2:15" x14ac:dyDescent="0.45"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</row>
    <row r="36" spans="2:15" x14ac:dyDescent="0.45"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</row>
  </sheetData>
  <mergeCells count="72">
    <mergeCell ref="B32:C32"/>
    <mergeCell ref="D32:E32"/>
    <mergeCell ref="F32:O32"/>
    <mergeCell ref="J2:K2"/>
    <mergeCell ref="L2:O2"/>
    <mergeCell ref="J3:K3"/>
    <mergeCell ref="L3:O3"/>
    <mergeCell ref="B5:O8"/>
    <mergeCell ref="B12:C13"/>
    <mergeCell ref="D12:G13"/>
    <mergeCell ref="H12:I13"/>
    <mergeCell ref="J12:L13"/>
    <mergeCell ref="M12:O13"/>
    <mergeCell ref="B33:C33"/>
    <mergeCell ref="D33:E33"/>
    <mergeCell ref="F33:O33"/>
    <mergeCell ref="B34:C34"/>
    <mergeCell ref="D34:E34"/>
    <mergeCell ref="F34:O34"/>
    <mergeCell ref="B35:C35"/>
    <mergeCell ref="D35:E35"/>
    <mergeCell ref="F35:O35"/>
    <mergeCell ref="B36:C36"/>
    <mergeCell ref="D36:E36"/>
    <mergeCell ref="F36:O36"/>
    <mergeCell ref="Y5:Z5"/>
    <mergeCell ref="AA5:AD5"/>
    <mergeCell ref="Y6:Z6"/>
    <mergeCell ref="AA6:AD6"/>
    <mergeCell ref="B11:C11"/>
    <mergeCell ref="D11:G11"/>
    <mergeCell ref="H11:I11"/>
    <mergeCell ref="J11:L11"/>
    <mergeCell ref="M11:O11"/>
    <mergeCell ref="B14:C15"/>
    <mergeCell ref="D14:G15"/>
    <mergeCell ref="H14:I15"/>
    <mergeCell ref="J14:L15"/>
    <mergeCell ref="M14:O15"/>
    <mergeCell ref="B16:C17"/>
    <mergeCell ref="D16:G17"/>
    <mergeCell ref="H16:I17"/>
    <mergeCell ref="J16:L17"/>
    <mergeCell ref="M16:O17"/>
    <mergeCell ref="B22:O22"/>
    <mergeCell ref="B23:C23"/>
    <mergeCell ref="D23:E23"/>
    <mergeCell ref="F23:O23"/>
    <mergeCell ref="B24:C24"/>
    <mergeCell ref="D24:E24"/>
    <mergeCell ref="F24:O24"/>
    <mergeCell ref="B25:C25"/>
    <mergeCell ref="D25:E25"/>
    <mergeCell ref="F25:O25"/>
    <mergeCell ref="B26:C26"/>
    <mergeCell ref="D26:E26"/>
    <mergeCell ref="F26:O26"/>
    <mergeCell ref="B29:C29"/>
    <mergeCell ref="D29:E29"/>
    <mergeCell ref="F29:O29"/>
    <mergeCell ref="B27:C27"/>
    <mergeCell ref="D27:E27"/>
    <mergeCell ref="F27:O27"/>
    <mergeCell ref="B28:C28"/>
    <mergeCell ref="D28:E28"/>
    <mergeCell ref="F28:O28"/>
    <mergeCell ref="B30:C30"/>
    <mergeCell ref="D30:E30"/>
    <mergeCell ref="F30:O30"/>
    <mergeCell ref="B31:C31"/>
    <mergeCell ref="D31:E31"/>
    <mergeCell ref="F31:O31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E2E90-005E-453E-BDC3-11A30388E7F3}">
  <sheetPr>
    <pageSetUpPr fitToPage="1"/>
  </sheetPr>
  <dimension ref="A1:J123"/>
  <sheetViews>
    <sheetView tabSelected="1" topLeftCell="E24" zoomScale="70" zoomScaleNormal="70" workbookViewId="0">
      <selection activeCell="G135" sqref="G135"/>
    </sheetView>
  </sheetViews>
  <sheetFormatPr defaultColWidth="9" defaultRowHeight="17" x14ac:dyDescent="0.45"/>
  <cols>
    <col min="1" max="1" width="2.83203125" style="1" customWidth="1"/>
    <col min="2" max="2" width="19.58203125" style="2" customWidth="1"/>
    <col min="3" max="3" width="42.58203125" style="33" customWidth="1"/>
    <col min="4" max="4" width="13.5" style="2" customWidth="1"/>
    <col min="5" max="5" width="21.75" style="1" customWidth="1"/>
    <col min="6" max="6" width="24.08203125" style="1" customWidth="1"/>
    <col min="7" max="7" width="44.75" style="17" customWidth="1"/>
    <col min="8" max="8" width="40.58203125" style="20" customWidth="1"/>
    <col min="9" max="9" width="62.25" style="19" customWidth="1"/>
    <col min="10" max="10" width="63.5" style="19" customWidth="1"/>
    <col min="11" max="16384" width="9" style="1"/>
  </cols>
  <sheetData>
    <row r="1" spans="2:6" ht="9" customHeight="1" thickBot="1" x14ac:dyDescent="0.5"/>
    <row r="2" spans="2:6" ht="26.15" customHeight="1" x14ac:dyDescent="0.45">
      <c r="B2" s="74" t="s">
        <v>248</v>
      </c>
      <c r="C2" s="75"/>
      <c r="D2" s="75"/>
      <c r="E2" s="75"/>
      <c r="F2" s="76"/>
    </row>
    <row r="3" spans="2:6" ht="26.15" customHeight="1" thickBot="1" x14ac:dyDescent="0.5">
      <c r="B3" s="77"/>
      <c r="C3" s="78"/>
      <c r="D3" s="78"/>
      <c r="E3" s="78"/>
      <c r="F3" s="79"/>
    </row>
    <row r="5" spans="2:6" ht="21" x14ac:dyDescent="0.45">
      <c r="B5" s="31" t="s">
        <v>243</v>
      </c>
    </row>
    <row r="7" spans="2:6" x14ac:dyDescent="0.45">
      <c r="B7" s="28"/>
      <c r="C7" s="34" t="s">
        <v>216</v>
      </c>
      <c r="D7" s="48" t="s">
        <v>220</v>
      </c>
      <c r="E7" s="48"/>
      <c r="F7" s="48"/>
    </row>
    <row r="8" spans="2:6" x14ac:dyDescent="0.45">
      <c r="B8" s="28"/>
      <c r="C8" s="34" t="s">
        <v>217</v>
      </c>
      <c r="D8" s="48" t="s">
        <v>218</v>
      </c>
      <c r="E8" s="48"/>
      <c r="F8" s="48"/>
    </row>
    <row r="9" spans="2:6" x14ac:dyDescent="0.45">
      <c r="B9" s="29"/>
    </row>
    <row r="10" spans="2:6" ht="21" x14ac:dyDescent="0.45">
      <c r="B10" s="31" t="s">
        <v>219</v>
      </c>
      <c r="C10" s="17"/>
    </row>
    <row r="11" spans="2:6" ht="34" customHeight="1" x14ac:dyDescent="0.45">
      <c r="C11" s="80" t="s">
        <v>224</v>
      </c>
      <c r="D11" s="81"/>
      <c r="E11" s="81"/>
      <c r="F11" s="81"/>
    </row>
    <row r="12" spans="2:6" x14ac:dyDescent="0.45">
      <c r="E12" s="6"/>
    </row>
    <row r="13" spans="2:6" ht="21" x14ac:dyDescent="0.45">
      <c r="B13" s="31" t="s">
        <v>242</v>
      </c>
      <c r="E13" s="7"/>
    </row>
    <row r="14" spans="2:6" x14ac:dyDescent="0.45">
      <c r="C14" s="35"/>
      <c r="E14" s="6"/>
    </row>
    <row r="15" spans="2:6" ht="17.5" x14ac:dyDescent="0.45">
      <c r="C15" s="36" t="s">
        <v>221</v>
      </c>
      <c r="D15" s="56" t="s">
        <v>222</v>
      </c>
      <c r="E15" s="56"/>
      <c r="F15" s="56"/>
    </row>
    <row r="16" spans="2:6" x14ac:dyDescent="0.45">
      <c r="C16" s="39" t="s">
        <v>244</v>
      </c>
      <c r="D16" s="72" t="s">
        <v>245</v>
      </c>
      <c r="E16" s="72"/>
      <c r="F16" s="72"/>
    </row>
    <row r="17" spans="2:10" x14ac:dyDescent="0.45">
      <c r="C17" s="39" t="s">
        <v>246</v>
      </c>
      <c r="D17" s="72" t="s">
        <v>247</v>
      </c>
      <c r="E17" s="72"/>
      <c r="F17" s="72"/>
    </row>
    <row r="18" spans="2:10" x14ac:dyDescent="0.45">
      <c r="C18" s="39" t="s">
        <v>228</v>
      </c>
      <c r="D18" s="72" t="s">
        <v>229</v>
      </c>
      <c r="E18" s="72"/>
      <c r="F18" s="72"/>
    </row>
    <row r="19" spans="2:10" x14ac:dyDescent="0.45">
      <c r="C19" s="39" t="s">
        <v>223</v>
      </c>
      <c r="D19" s="72" t="s">
        <v>225</v>
      </c>
      <c r="E19" s="72"/>
      <c r="F19" s="72"/>
    </row>
    <row r="20" spans="2:10" x14ac:dyDescent="0.45">
      <c r="C20" s="39" t="s">
        <v>226</v>
      </c>
      <c r="D20" s="72" t="s">
        <v>227</v>
      </c>
      <c r="E20" s="72"/>
      <c r="F20" s="72"/>
    </row>
    <row r="21" spans="2:10" x14ac:dyDescent="0.45">
      <c r="C21" s="39" t="s">
        <v>230</v>
      </c>
      <c r="D21" s="72" t="s">
        <v>231</v>
      </c>
      <c r="E21" s="72"/>
      <c r="F21" s="72"/>
    </row>
    <row r="22" spans="2:10" x14ac:dyDescent="0.45">
      <c r="C22" s="39" t="s">
        <v>232</v>
      </c>
      <c r="D22" s="72" t="s">
        <v>233</v>
      </c>
      <c r="E22" s="72"/>
      <c r="F22" s="72"/>
    </row>
    <row r="23" spans="2:10" x14ac:dyDescent="0.45">
      <c r="C23" s="39" t="s">
        <v>234</v>
      </c>
      <c r="D23" s="72" t="s">
        <v>235</v>
      </c>
      <c r="E23" s="72"/>
      <c r="F23" s="72"/>
    </row>
    <row r="24" spans="2:10" ht="38.5" customHeight="1" x14ac:dyDescent="0.45">
      <c r="C24" s="39" t="s">
        <v>236</v>
      </c>
      <c r="D24" s="73" t="s">
        <v>239</v>
      </c>
      <c r="E24" s="72"/>
      <c r="F24" s="72"/>
    </row>
    <row r="25" spans="2:10" x14ac:dyDescent="0.45">
      <c r="C25" s="39" t="s">
        <v>237</v>
      </c>
      <c r="D25" s="73" t="s">
        <v>240</v>
      </c>
      <c r="E25" s="73"/>
      <c r="F25" s="73"/>
    </row>
    <row r="26" spans="2:10" x14ac:dyDescent="0.45">
      <c r="C26" s="39" t="s">
        <v>238</v>
      </c>
      <c r="D26" s="72" t="s">
        <v>241</v>
      </c>
      <c r="E26" s="72"/>
      <c r="F26" s="72"/>
    </row>
    <row r="27" spans="2:10" x14ac:dyDescent="0.45">
      <c r="C27" s="37"/>
      <c r="D27" s="30"/>
      <c r="E27" s="30"/>
      <c r="F27" s="30"/>
    </row>
    <row r="28" spans="2:10" ht="21" x14ac:dyDescent="0.45">
      <c r="B28" s="31" t="s">
        <v>250</v>
      </c>
      <c r="C28" s="37"/>
      <c r="D28" s="30"/>
      <c r="E28" s="30"/>
      <c r="F28" s="30"/>
    </row>
    <row r="29" spans="2:10" x14ac:dyDescent="0.45">
      <c r="C29" s="38" t="s">
        <v>251</v>
      </c>
      <c r="D29" s="30"/>
      <c r="E29" s="30"/>
      <c r="F29" s="30"/>
    </row>
    <row r="30" spans="2:10" x14ac:dyDescent="0.45">
      <c r="C30" s="37"/>
      <c r="D30" s="30"/>
      <c r="E30" s="30"/>
      <c r="F30" s="30"/>
    </row>
    <row r="31" spans="2:10" ht="21" x14ac:dyDescent="0.45">
      <c r="B31" s="31" t="s">
        <v>249</v>
      </c>
    </row>
    <row r="32" spans="2:10" ht="33" customHeight="1" x14ac:dyDescent="0.45">
      <c r="B32" s="89" t="s">
        <v>10</v>
      </c>
      <c r="C32" s="90" t="s">
        <v>12</v>
      </c>
      <c r="D32" s="92" t="s">
        <v>11</v>
      </c>
      <c r="E32" s="94" t="s">
        <v>13</v>
      </c>
      <c r="F32" s="95"/>
      <c r="G32" s="82" t="s">
        <v>186</v>
      </c>
      <c r="H32" s="84" t="s">
        <v>15</v>
      </c>
      <c r="I32" s="85" t="s">
        <v>16</v>
      </c>
      <c r="J32" s="87" t="s">
        <v>14</v>
      </c>
    </row>
    <row r="33" spans="1:10" ht="25.5" customHeight="1" x14ac:dyDescent="0.45">
      <c r="B33" s="89"/>
      <c r="C33" s="91"/>
      <c r="D33" s="93"/>
      <c r="E33" s="14" t="s">
        <v>18</v>
      </c>
      <c r="F33" s="14" t="s">
        <v>17</v>
      </c>
      <c r="G33" s="83"/>
      <c r="H33" s="84"/>
      <c r="I33" s="86"/>
      <c r="J33" s="88"/>
    </row>
    <row r="34" spans="1:10" ht="60" customHeight="1" x14ac:dyDescent="0.45">
      <c r="B34" s="4" t="str">
        <f>IF(COUNTA(C34),_xlfn.CONCAT("SW-FW-SYS-Test-ID-",COUNTA(C$34:C34)),"")</f>
        <v>SW-FW-SYS-Test-ID-1</v>
      </c>
      <c r="C34" s="40" t="s">
        <v>23</v>
      </c>
      <c r="D34" s="12" t="s">
        <v>20</v>
      </c>
      <c r="E34" s="4" t="str">
        <f>'[1]소프트웨어 입력 요구사항 사양서'!$G$7</f>
        <v>SW-FW-RID-2</v>
      </c>
      <c r="F34" s="4" t="s">
        <v>19</v>
      </c>
      <c r="G34" s="8" t="s">
        <v>138</v>
      </c>
      <c r="H34" s="11" t="s">
        <v>72</v>
      </c>
      <c r="I34" s="18" t="s">
        <v>70</v>
      </c>
      <c r="J34" s="18" t="s">
        <v>71</v>
      </c>
    </row>
    <row r="35" spans="1:10" ht="60" customHeight="1" x14ac:dyDescent="0.45">
      <c r="A35" s="1" t="s">
        <v>74</v>
      </c>
      <c r="B35" s="4" t="str">
        <f>IF(COUNTA(C35),_xlfn.CONCAT("SW-FW-SYS-Test-ID-",COUNTA(C$34:C35)),"")</f>
        <v>SW-FW-SYS-Test-ID-2</v>
      </c>
      <c r="C35" s="40" t="s">
        <v>80</v>
      </c>
      <c r="D35" s="12" t="s">
        <v>20</v>
      </c>
      <c r="E35" s="4" t="str">
        <f>'[1]소프트웨어 입력 요구사항 사양서'!$G$8</f>
        <v>SW-FW-RID-3</v>
      </c>
      <c r="F35" s="10"/>
      <c r="G35" s="8" t="s">
        <v>127</v>
      </c>
      <c r="H35" s="11" t="s">
        <v>264</v>
      </c>
      <c r="I35" s="18" t="s">
        <v>73</v>
      </c>
      <c r="J35" s="18" t="s">
        <v>189</v>
      </c>
    </row>
    <row r="36" spans="1:10" ht="60" customHeight="1" x14ac:dyDescent="0.45">
      <c r="B36" s="4" t="str">
        <f>IF(COUNTA(C36),_xlfn.CONCAT("SW-FW-SYS-Test-ID-",COUNTA(C$34:C36)),"")</f>
        <v>SW-FW-SYS-Test-ID-3</v>
      </c>
      <c r="C36" s="5" t="s">
        <v>22</v>
      </c>
      <c r="D36" s="12" t="s">
        <v>25</v>
      </c>
      <c r="E36" s="4" t="str">
        <f>'[1]소프트웨어 입력 요구사항 사양서'!$G$9</f>
        <v>SW-FW-RID-4</v>
      </c>
      <c r="F36" s="10"/>
      <c r="G36" s="8" t="s">
        <v>127</v>
      </c>
      <c r="H36" s="11" t="s">
        <v>75</v>
      </c>
      <c r="I36" s="18" t="s">
        <v>76</v>
      </c>
      <c r="J36" s="18" t="s">
        <v>78</v>
      </c>
    </row>
    <row r="37" spans="1:10" ht="60" customHeight="1" x14ac:dyDescent="0.45">
      <c r="B37" s="4" t="str">
        <f>IF(COUNTA(C37),_xlfn.CONCAT("SW-FW-SYS-Test-ID-",COUNTA(C$34:C37)),"")</f>
        <v>SW-FW-SYS-Test-ID-4</v>
      </c>
      <c r="C37" s="5" t="s">
        <v>21</v>
      </c>
      <c r="D37" s="12" t="s">
        <v>25</v>
      </c>
      <c r="E37" s="4" t="str">
        <f>'[1]소프트웨어 입력 요구사항 사양서'!$G$10</f>
        <v>SW-FW-RID-5</v>
      </c>
      <c r="F37" s="10"/>
      <c r="G37" s="8" t="s">
        <v>127</v>
      </c>
      <c r="H37" s="11" t="s">
        <v>85</v>
      </c>
      <c r="I37" s="18" t="s">
        <v>77</v>
      </c>
      <c r="J37" s="18" t="s">
        <v>79</v>
      </c>
    </row>
    <row r="38" spans="1:10" ht="60" customHeight="1" x14ac:dyDescent="0.45">
      <c r="B38" s="4" t="str">
        <f>IF(COUNTA(C38),_xlfn.CONCAT("SW-FW-SYS-Test-ID-",COUNTA(C$34:C38)),"")</f>
        <v>SW-FW-SYS-Test-ID-5</v>
      </c>
      <c r="C38" s="5" t="s">
        <v>265</v>
      </c>
      <c r="D38" s="12" t="s">
        <v>20</v>
      </c>
      <c r="E38" s="4" t="str">
        <f>'[1]소프트웨어 입력 요구사항 사양서'!$G$11</f>
        <v>SW-FW-RID-6</v>
      </c>
      <c r="F38" s="10"/>
      <c r="G38" s="8" t="s">
        <v>127</v>
      </c>
      <c r="H38" s="11" t="s">
        <v>81</v>
      </c>
      <c r="I38" s="18" t="s">
        <v>82</v>
      </c>
      <c r="J38" s="18" t="s">
        <v>83</v>
      </c>
    </row>
    <row r="39" spans="1:10" ht="60" customHeight="1" x14ac:dyDescent="0.45">
      <c r="B39" s="4" t="str">
        <f>IF(COUNTA(C39),_xlfn.CONCAT("SW-FW-SYS-Test-ID-",COUNTA(C$34:C39)),"")</f>
        <v>SW-FW-SYS-Test-ID-6</v>
      </c>
      <c r="C39" s="5" t="s">
        <v>30</v>
      </c>
      <c r="D39" s="12" t="s">
        <v>20</v>
      </c>
      <c r="E39" s="4" t="str">
        <f>'[1]소프트웨어 입력 요구사항 사양서'!$G$12</f>
        <v>SW-FW-RID-7</v>
      </c>
      <c r="F39" s="10"/>
      <c r="G39" s="8" t="s">
        <v>127</v>
      </c>
      <c r="H39" s="11" t="s">
        <v>84</v>
      </c>
      <c r="I39" s="18" t="s">
        <v>86</v>
      </c>
      <c r="J39" s="18" t="s">
        <v>87</v>
      </c>
    </row>
    <row r="40" spans="1:10" ht="25" customHeight="1" x14ac:dyDescent="0.45">
      <c r="B40" s="4" t="str">
        <f>IF(COUNTA(C40),_xlfn.CONCAT("SW-FW-SYS-Test-ID-",COUNTA(C$34:C40)),"")</f>
        <v>SW-FW-SYS-Test-ID-7</v>
      </c>
      <c r="C40" s="5" t="s">
        <v>24</v>
      </c>
      <c r="D40" s="12" t="s">
        <v>25</v>
      </c>
      <c r="E40" s="4" t="str">
        <f>'[1]소프트웨어 입력 요구사항 사양서'!$G$13</f>
        <v>SW-FW-RID-8</v>
      </c>
      <c r="F40" s="10"/>
      <c r="G40" s="16" t="s">
        <v>139</v>
      </c>
      <c r="H40" s="11" t="s">
        <v>88</v>
      </c>
      <c r="I40" s="18" t="s">
        <v>89</v>
      </c>
      <c r="J40" s="18" t="s">
        <v>90</v>
      </c>
    </row>
    <row r="41" spans="1:10" ht="25" customHeight="1" x14ac:dyDescent="0.45">
      <c r="B41" s="4" t="str">
        <f>IF(COUNTA(C41),_xlfn.CONCAT("SW-FW-SYS-Test-ID-",COUNTA(C$34:C41)),"")</f>
        <v>SW-FW-SYS-Test-ID-8</v>
      </c>
      <c r="C41" s="41" t="s">
        <v>52</v>
      </c>
      <c r="D41" s="12" t="s">
        <v>25</v>
      </c>
      <c r="E41" s="4" t="str">
        <f>'[1]소프트웨어 입력 요구사항 사양서'!$G$14</f>
        <v>SW-FW-RID-9</v>
      </c>
      <c r="F41" s="10"/>
      <c r="G41" s="16" t="s">
        <v>139</v>
      </c>
      <c r="H41" s="23"/>
      <c r="I41" s="18" t="s">
        <v>190</v>
      </c>
      <c r="J41" s="18" t="s">
        <v>191</v>
      </c>
    </row>
    <row r="42" spans="1:10" ht="25" customHeight="1" x14ac:dyDescent="0.45">
      <c r="B42" s="4" t="str">
        <f>IF(COUNTA(C42),_xlfn.CONCAT("SW-FW-SYS-Test-ID-",COUNTA(C$34:C42)),"")</f>
        <v>SW-FW-SYS-Test-ID-9</v>
      </c>
      <c r="C42" s="42" t="s">
        <v>26</v>
      </c>
      <c r="D42" s="13" t="s">
        <v>68</v>
      </c>
      <c r="E42" s="4" t="str">
        <f>'[1]소프트웨어 입력 요구사항 사양서'!$G$15</f>
        <v>SW-FW-RID-10</v>
      </c>
      <c r="F42" s="10"/>
      <c r="H42" s="24"/>
      <c r="I42" s="18" t="s">
        <v>192</v>
      </c>
      <c r="J42" s="18" t="s">
        <v>193</v>
      </c>
    </row>
    <row r="43" spans="1:10" ht="60" customHeight="1" x14ac:dyDescent="0.45">
      <c r="B43" s="4" t="str">
        <f>IF(COUNTA(C43),_xlfn.CONCAT("SW-FW-SYS-Test-ID-",COUNTA(C$34:C43)),"")</f>
        <v>SW-FW-SYS-Test-ID-10</v>
      </c>
      <c r="C43" s="42" t="s">
        <v>27</v>
      </c>
      <c r="D43" s="9" t="s">
        <v>25</v>
      </c>
      <c r="E43" s="4" t="str">
        <f>'[1]소프트웨어 입력 요구사항 사양서'!$G$16</f>
        <v>SW-FW-RID-11</v>
      </c>
      <c r="F43" s="4"/>
      <c r="G43" s="8" t="s">
        <v>127</v>
      </c>
      <c r="H43" s="22" t="s">
        <v>199</v>
      </c>
      <c r="I43" s="18" t="s">
        <v>91</v>
      </c>
      <c r="J43" s="18" t="s">
        <v>213</v>
      </c>
    </row>
    <row r="44" spans="1:10" ht="60" customHeight="1" x14ac:dyDescent="0.45">
      <c r="B44" s="4" t="str">
        <f>IF(COUNTA(C44),_xlfn.CONCAT("SW-FW-SYS-Test-ID-",COUNTA(C$34:C44)),"")</f>
        <v>SW-FW-SYS-Test-ID-11</v>
      </c>
      <c r="C44" s="40" t="s">
        <v>28</v>
      </c>
      <c r="D44" s="12" t="s">
        <v>20</v>
      </c>
      <c r="E44" s="4" t="str">
        <f>'[1]소프트웨어 입력 요구사항 사양서'!$G$17</f>
        <v>SW-FW-RID-12</v>
      </c>
      <c r="F44" s="4"/>
      <c r="G44" s="8" t="s">
        <v>127</v>
      </c>
      <c r="H44" s="11" t="s">
        <v>200</v>
      </c>
      <c r="I44" s="18" t="s">
        <v>92</v>
      </c>
      <c r="J44" s="18" t="s">
        <v>93</v>
      </c>
    </row>
    <row r="45" spans="1:10" ht="40" customHeight="1" x14ac:dyDescent="0.45">
      <c r="B45" s="4" t="str">
        <f>IF(COUNTA(C45),_xlfn.CONCAT("SW-FW-SYS-Test-ID-",COUNTA(C$34:C45)),"")</f>
        <v>SW-FW-SYS-Test-ID-12</v>
      </c>
      <c r="C45" s="42" t="s">
        <v>29</v>
      </c>
      <c r="D45" s="9" t="s">
        <v>20</v>
      </c>
      <c r="E45" s="4" t="str">
        <f>'[1]소프트웨어 입력 요구사항 사양서'!$G$18</f>
        <v>SW-FW-RID-13</v>
      </c>
      <c r="F45" s="4"/>
      <c r="G45" s="26"/>
      <c r="H45" s="25"/>
      <c r="I45" s="18" t="s">
        <v>99</v>
      </c>
      <c r="J45" s="18" t="s">
        <v>100</v>
      </c>
    </row>
    <row r="46" spans="1:10" ht="70" customHeight="1" x14ac:dyDescent="0.45">
      <c r="B46" s="4" t="str">
        <f>IF(COUNTA(C46),_xlfn.CONCAT("SW-FW-SYS-Test-ID-",COUNTA(C$34:C46)),"")</f>
        <v>SW-FW-SYS-Test-ID-13</v>
      </c>
      <c r="C46" s="43" t="s">
        <v>37</v>
      </c>
      <c r="D46" s="5" t="s">
        <v>25</v>
      </c>
      <c r="E46" s="15" t="str">
        <f>'[1]소프트웨어 입력 요구사항 사양서'!$G$19</f>
        <v>SW-FW-RID-14</v>
      </c>
      <c r="F46" s="4"/>
      <c r="G46" s="8" t="s">
        <v>128</v>
      </c>
      <c r="H46" s="21" t="s">
        <v>94</v>
      </c>
      <c r="I46" s="18" t="s">
        <v>95</v>
      </c>
      <c r="J46" s="18" t="s">
        <v>96</v>
      </c>
    </row>
    <row r="47" spans="1:10" ht="70" customHeight="1" x14ac:dyDescent="0.45">
      <c r="B47" s="4" t="str">
        <f>IF(COUNTA(C47),_xlfn.CONCAT("SW-FW-SYS-Test-ID-",COUNTA(C$34:C47)),"")</f>
        <v>SW-FW-SYS-Test-ID-14</v>
      </c>
      <c r="C47" s="44" t="s">
        <v>51</v>
      </c>
      <c r="D47" s="3" t="s">
        <v>25</v>
      </c>
      <c r="E47" s="4" t="str">
        <f>'[1]소프트웨어 입력 요구사항 사양서'!$G$20</f>
        <v>SW-FW-RID-15</v>
      </c>
      <c r="F47" s="4"/>
      <c r="G47" s="8" t="s">
        <v>128</v>
      </c>
      <c r="H47" s="22"/>
      <c r="I47" s="18" t="s">
        <v>97</v>
      </c>
      <c r="J47" s="18" t="s">
        <v>98</v>
      </c>
    </row>
    <row r="48" spans="1:10" ht="25" customHeight="1" x14ac:dyDescent="0.45">
      <c r="B48" s="4" t="str">
        <f>IF(COUNTA(C48),_xlfn.CONCAT("SW-FW-SYS-Test-ID-",COUNTA(C$34:C48)),"")</f>
        <v>SW-FW-SYS-Test-ID-15</v>
      </c>
      <c r="C48" s="44" t="s">
        <v>31</v>
      </c>
      <c r="D48" s="3" t="s">
        <v>25</v>
      </c>
      <c r="E48" s="15" t="str">
        <f>'[1]소프트웨어 입력 요구사항 사양서'!$G$21</f>
        <v>SW-FW-RID-16</v>
      </c>
      <c r="F48" s="4"/>
      <c r="G48" s="26" t="s">
        <v>195</v>
      </c>
      <c r="H48" s="96" t="s">
        <v>194</v>
      </c>
      <c r="I48" s="18" t="s">
        <v>197</v>
      </c>
      <c r="J48" s="18" t="s">
        <v>196</v>
      </c>
    </row>
    <row r="49" spans="2:10" ht="40" customHeight="1" x14ac:dyDescent="0.45">
      <c r="B49" s="4" t="str">
        <f>IF(COUNTA(C49),_xlfn.CONCAT("SW-FW-SYS-Test-ID-",COUNTA(C$34:C49)),"")</f>
        <v>SW-FW-SYS-Test-ID-16</v>
      </c>
      <c r="C49" s="44" t="s">
        <v>32</v>
      </c>
      <c r="D49" s="3" t="s">
        <v>68</v>
      </c>
      <c r="E49" s="4" t="str">
        <f>'[1]소프트웨어 입력 요구사항 사양서'!$G$22</f>
        <v>SW-FW-RID-17</v>
      </c>
      <c r="F49" s="4"/>
      <c r="G49" s="26" t="s">
        <v>187</v>
      </c>
      <c r="H49" s="25"/>
      <c r="I49" s="18" t="s">
        <v>198</v>
      </c>
      <c r="J49" s="18" t="s">
        <v>188</v>
      </c>
    </row>
    <row r="50" spans="2:10" ht="40" customHeight="1" x14ac:dyDescent="0.45">
      <c r="B50" s="4" t="str">
        <f>IF(COUNTA(C50),_xlfn.CONCAT("SW-FW-SYS-Test-ID-",COUNTA(C$34:C50)),"")</f>
        <v>SW-FW-SYS-Test-ID-17</v>
      </c>
      <c r="C50" s="44" t="s">
        <v>53</v>
      </c>
      <c r="D50" s="3" t="s">
        <v>25</v>
      </c>
      <c r="E50" s="15" t="str">
        <f>'[1]소프트웨어 입력 요구사항 사양서'!$G$23</f>
        <v>SW-FW-RID-18</v>
      </c>
      <c r="F50" s="4"/>
      <c r="G50" s="16" t="s">
        <v>101</v>
      </c>
      <c r="H50" s="21"/>
      <c r="I50" s="18" t="s">
        <v>102</v>
      </c>
      <c r="J50" s="18" t="s">
        <v>103</v>
      </c>
    </row>
    <row r="51" spans="2:10" ht="25" customHeight="1" x14ac:dyDescent="0.45">
      <c r="B51" s="4" t="str">
        <f>IF(COUNTA(C51),_xlfn.CONCAT("SW-FW-SYS-Test-ID-",COUNTA(C$34:C51)),"")</f>
        <v>SW-FW-SYS-Test-ID-18</v>
      </c>
      <c r="C51" s="44" t="s">
        <v>54</v>
      </c>
      <c r="D51" s="3" t="s">
        <v>68</v>
      </c>
      <c r="E51" s="4" t="str">
        <f>'[1]소프트웨어 입력 요구사항 사양서'!$G$24</f>
        <v>SW-FW-RID-19</v>
      </c>
      <c r="F51" s="4"/>
      <c r="G51" s="8"/>
      <c r="H51" s="22"/>
      <c r="I51" s="18" t="s">
        <v>104</v>
      </c>
      <c r="J51" s="18" t="s">
        <v>105</v>
      </c>
    </row>
    <row r="52" spans="2:10" ht="40" customHeight="1" x14ac:dyDescent="0.45">
      <c r="B52" s="4" t="str">
        <f>IF(COUNTA(C52),_xlfn.CONCAT("SW-FW-SYS-Test-ID-",COUNTA(C$34:C52)),"")</f>
        <v>SW-FW-SYS-Test-ID-19</v>
      </c>
      <c r="C52" s="44" t="s">
        <v>33</v>
      </c>
      <c r="D52" s="3" t="s">
        <v>25</v>
      </c>
      <c r="E52" s="15" t="str">
        <f>'[1]소프트웨어 입력 요구사항 사양서'!$G$25</f>
        <v>SW-FW-RID-20</v>
      </c>
      <c r="F52" s="4"/>
      <c r="G52" s="16" t="s">
        <v>106</v>
      </c>
      <c r="H52" s="21"/>
      <c r="I52" s="18" t="s">
        <v>107</v>
      </c>
      <c r="J52" s="18" t="s">
        <v>108</v>
      </c>
    </row>
    <row r="53" spans="2:10" ht="40" customHeight="1" x14ac:dyDescent="0.45">
      <c r="B53" s="4" t="str">
        <f>IF(COUNTA(C53),_xlfn.CONCAT("SW-FW-SYS-Test-ID-",COUNTA(C$34:C53)),"")</f>
        <v>SW-FW-SYS-Test-ID-20</v>
      </c>
      <c r="C53" s="44" t="s">
        <v>34</v>
      </c>
      <c r="D53" s="3" t="s">
        <v>25</v>
      </c>
      <c r="E53" s="4" t="str">
        <f>'[1]소프트웨어 입력 요구사항 사양서'!$G$26</f>
        <v>SW-FW-RID-21</v>
      </c>
      <c r="F53" s="4"/>
      <c r="G53" s="26"/>
      <c r="H53" s="22"/>
      <c r="I53" s="18" t="s">
        <v>109</v>
      </c>
      <c r="J53" s="18" t="s">
        <v>203</v>
      </c>
    </row>
    <row r="54" spans="2:10" ht="60" customHeight="1" x14ac:dyDescent="0.45">
      <c r="B54" s="4" t="str">
        <f>IF(COUNTA(C54),_xlfn.CONCAT("SW-FW-SYS-Test-ID-",COUNTA(C$34:C54)),"")</f>
        <v>SW-FW-SYS-Test-ID-21</v>
      </c>
      <c r="C54" s="44" t="s">
        <v>67</v>
      </c>
      <c r="D54" s="3" t="s">
        <v>25</v>
      </c>
      <c r="E54" s="15" t="str">
        <f>'[1]소프트웨어 입력 요구사항 사양서'!$G$27</f>
        <v>SW-FW-RID-22</v>
      </c>
      <c r="F54" s="4"/>
      <c r="G54" s="16" t="s">
        <v>137</v>
      </c>
      <c r="H54" s="21"/>
      <c r="I54" s="18" t="s">
        <v>110</v>
      </c>
      <c r="J54" s="18" t="s">
        <v>111</v>
      </c>
    </row>
    <row r="55" spans="2:10" ht="70" customHeight="1" x14ac:dyDescent="0.45">
      <c r="B55" s="4" t="str">
        <f>IF(COUNTA(C55),_xlfn.CONCAT("SW-FW-SYS-Test-ID-",COUNTA(C$34:C55)),"")</f>
        <v>SW-FW-SYS-Test-ID-22</v>
      </c>
      <c r="C55" s="44" t="s">
        <v>35</v>
      </c>
      <c r="D55" s="3" t="s">
        <v>25</v>
      </c>
      <c r="E55" s="4" t="str">
        <f>'[1]소프트웨어 입력 요구사항 사양서'!$G$28</f>
        <v>SW-FW-RID-23</v>
      </c>
      <c r="F55" s="4"/>
      <c r="G55" s="26" t="s">
        <v>136</v>
      </c>
      <c r="H55" s="22"/>
      <c r="I55" s="18" t="s">
        <v>202</v>
      </c>
      <c r="J55" s="18" t="s">
        <v>201</v>
      </c>
    </row>
    <row r="56" spans="2:10" ht="60" customHeight="1" x14ac:dyDescent="0.45">
      <c r="B56" s="4" t="str">
        <f>IF(COUNTA(C56),_xlfn.CONCAT("SW-FW-SYS-Test-ID-",COUNTA(C$34:C56)),"")</f>
        <v>SW-FW-SYS-Test-ID-23</v>
      </c>
      <c r="C56" s="44" t="s">
        <v>36</v>
      </c>
      <c r="D56" s="3" t="s">
        <v>25</v>
      </c>
      <c r="E56" s="15" t="str">
        <f>'[1]소프트웨어 입력 요구사항 사양서'!$G$29</f>
        <v>SW-FW-RID-24</v>
      </c>
      <c r="F56" s="4"/>
      <c r="G56" s="16" t="s">
        <v>135</v>
      </c>
      <c r="H56" s="21" t="s">
        <v>157</v>
      </c>
      <c r="I56" s="18" t="s">
        <v>133</v>
      </c>
      <c r="J56" s="18" t="s">
        <v>112</v>
      </c>
    </row>
    <row r="57" spans="2:10" ht="70" customHeight="1" x14ac:dyDescent="0.45">
      <c r="B57" s="4" t="str">
        <f>IF(COUNTA(C57),_xlfn.CONCAT("SW-FW-SYS-Test-ID-",COUNTA(C$34:C57)),"")</f>
        <v>SW-FW-SYS-Test-ID-24</v>
      </c>
      <c r="C57" s="44" t="s">
        <v>38</v>
      </c>
      <c r="D57" s="3" t="s">
        <v>25</v>
      </c>
      <c r="E57" s="4" t="str">
        <f>'[1]소프트웨어 입력 요구사항 사양서'!$G$30</f>
        <v>SW-FW-RID-25</v>
      </c>
      <c r="F57" s="4"/>
      <c r="G57" s="8" t="s">
        <v>131</v>
      </c>
      <c r="H57" s="22"/>
      <c r="I57" s="18" t="s">
        <v>113</v>
      </c>
      <c r="J57" s="18" t="s">
        <v>114</v>
      </c>
    </row>
    <row r="58" spans="2:10" ht="70" customHeight="1" x14ac:dyDescent="0.45">
      <c r="B58" s="4" t="str">
        <f>IF(COUNTA(C58),_xlfn.CONCAT("SW-FW-SYS-Test-ID-",COUNTA(C$34:C58)),"")</f>
        <v>SW-FW-SYS-Test-ID-25</v>
      </c>
      <c r="C58" s="44" t="s">
        <v>39</v>
      </c>
      <c r="D58" s="3" t="s">
        <v>25</v>
      </c>
      <c r="E58" s="15" t="str">
        <f>'[1]소프트웨어 입력 요구사항 사양서'!$G$31</f>
        <v>SW-FW-RID-26</v>
      </c>
      <c r="F58" s="4"/>
      <c r="G58" s="8" t="s">
        <v>131</v>
      </c>
      <c r="H58" s="22"/>
      <c r="I58" s="18" t="s">
        <v>116</v>
      </c>
      <c r="J58" s="18" t="s">
        <v>114</v>
      </c>
    </row>
    <row r="59" spans="2:10" ht="70" customHeight="1" x14ac:dyDescent="0.45">
      <c r="B59" s="4" t="str">
        <f>IF(COUNTA(C59),_xlfn.CONCAT("SW-FW-SYS-Test-ID-",COUNTA(C$34:C59)),"")</f>
        <v>SW-FW-SYS-Test-ID-26</v>
      </c>
      <c r="C59" s="44" t="s">
        <v>40</v>
      </c>
      <c r="D59" s="3" t="s">
        <v>25</v>
      </c>
      <c r="E59" s="4" t="str">
        <f>'[1]소프트웨어 입력 요구사항 사양서'!$G$32</f>
        <v>SW-FW-RID-27</v>
      </c>
      <c r="F59" s="4"/>
      <c r="G59" s="8" t="s">
        <v>131</v>
      </c>
      <c r="H59" s="22"/>
      <c r="I59" s="18" t="s">
        <v>115</v>
      </c>
      <c r="J59" s="18" t="s">
        <v>114</v>
      </c>
    </row>
    <row r="60" spans="2:10" ht="60" customHeight="1" x14ac:dyDescent="0.45">
      <c r="B60" s="4" t="str">
        <f>IF(COUNTA(C60),_xlfn.CONCAT("SW-FW-SYS-Test-ID-",COUNTA(C$34:C60)),"")</f>
        <v>SW-FW-SYS-Test-ID-27</v>
      </c>
      <c r="C60" s="44" t="s">
        <v>41</v>
      </c>
      <c r="D60" s="3" t="s">
        <v>25</v>
      </c>
      <c r="E60" s="15" t="str">
        <f>'[1]소프트웨어 입력 요구사항 사양서'!$G$33</f>
        <v>SW-FW-RID-28</v>
      </c>
      <c r="F60" s="4"/>
      <c r="G60" s="8" t="s">
        <v>132</v>
      </c>
      <c r="H60" s="22"/>
      <c r="I60" s="18" t="s">
        <v>117</v>
      </c>
      <c r="J60" s="18" t="s">
        <v>118</v>
      </c>
    </row>
    <row r="61" spans="2:10" ht="85" customHeight="1" x14ac:dyDescent="0.45">
      <c r="B61" s="4" t="str">
        <f>IF(COUNTA(C61),_xlfn.CONCAT("SW-FW-SYS-Test-ID-",COUNTA(C$34:C61)),"")</f>
        <v>SW-FW-SYS-Test-ID-28</v>
      </c>
      <c r="C61" s="44" t="s">
        <v>42</v>
      </c>
      <c r="D61" s="3" t="s">
        <v>25</v>
      </c>
      <c r="E61" s="4" t="str">
        <f>'[1]소프트웨어 입력 요구사항 사양서'!$G$34</f>
        <v>SW-FW-RID-29</v>
      </c>
      <c r="F61" s="4"/>
      <c r="G61" s="8" t="s">
        <v>134</v>
      </c>
      <c r="H61" s="22"/>
      <c r="I61" s="18" t="s">
        <v>119</v>
      </c>
      <c r="J61" s="18" t="s">
        <v>120</v>
      </c>
    </row>
    <row r="62" spans="2:10" ht="85" customHeight="1" x14ac:dyDescent="0.45">
      <c r="B62" s="4" t="str">
        <f>IF(COUNTA(C62),_xlfn.CONCAT("SW-FW-SYS-Test-ID-",COUNTA(C$34:C62)),"")</f>
        <v>SW-FW-SYS-Test-ID-29</v>
      </c>
      <c r="C62" s="44" t="s">
        <v>43</v>
      </c>
      <c r="D62" s="3" t="s">
        <v>25</v>
      </c>
      <c r="E62" s="15" t="str">
        <f>'[1]소프트웨어 입력 요구사항 사양서'!$G$35</f>
        <v>SW-FW-RID-30</v>
      </c>
      <c r="F62" s="4"/>
      <c r="G62" s="8" t="s">
        <v>134</v>
      </c>
      <c r="H62" s="21"/>
      <c r="I62" s="18" t="s">
        <v>204</v>
      </c>
      <c r="J62" s="18" t="s">
        <v>121</v>
      </c>
    </row>
    <row r="63" spans="2:10" ht="85" customHeight="1" x14ac:dyDescent="0.45">
      <c r="B63" s="4" t="str">
        <f>IF(COUNTA(C63),_xlfn.CONCAT("SW-FW-SYS-Test-ID-",COUNTA(C$34:C63)),"")</f>
        <v>SW-FW-SYS-Test-ID-30</v>
      </c>
      <c r="C63" s="44" t="s">
        <v>44</v>
      </c>
      <c r="D63" s="3" t="s">
        <v>25</v>
      </c>
      <c r="E63" s="4" t="str">
        <f>'[1]소프트웨어 입력 요구사항 사양서'!$G$36</f>
        <v>SW-FW-RID-31</v>
      </c>
      <c r="F63" s="4"/>
      <c r="G63" s="8" t="s">
        <v>134</v>
      </c>
      <c r="H63" s="22"/>
      <c r="I63" s="18" t="s">
        <v>113</v>
      </c>
      <c r="J63" s="18" t="s">
        <v>122</v>
      </c>
    </row>
    <row r="64" spans="2:10" ht="85" customHeight="1" x14ac:dyDescent="0.45">
      <c r="B64" s="4" t="str">
        <f>IF(COUNTA(C64),_xlfn.CONCAT("SW-FW-SYS-Test-ID-",COUNTA(C$34:C64)),"")</f>
        <v>SW-FW-SYS-Test-ID-31</v>
      </c>
      <c r="C64" s="44" t="s">
        <v>45</v>
      </c>
      <c r="D64" s="3" t="s">
        <v>25</v>
      </c>
      <c r="E64" s="15" t="str">
        <f>'[1]소프트웨어 입력 요구사항 사양서'!$G$37</f>
        <v>SW-FW-RID-32</v>
      </c>
      <c r="F64" s="4"/>
      <c r="G64" s="8" t="s">
        <v>134</v>
      </c>
      <c r="H64" s="22"/>
      <c r="I64" s="18" t="s">
        <v>116</v>
      </c>
      <c r="J64" s="18" t="s">
        <v>123</v>
      </c>
    </row>
    <row r="65" spans="2:10" ht="85" customHeight="1" x14ac:dyDescent="0.45">
      <c r="B65" s="4" t="str">
        <f>IF(COUNTA(C65),_xlfn.CONCAT("SW-FW-SYS-Test-ID-",COUNTA(C$34:C65)),"")</f>
        <v>SW-FW-SYS-Test-ID-32</v>
      </c>
      <c r="C65" s="44" t="s">
        <v>46</v>
      </c>
      <c r="D65" s="3" t="s">
        <v>25</v>
      </c>
      <c r="E65" s="4" t="str">
        <f>'[1]소프트웨어 입력 요구사항 사양서'!$G$38</f>
        <v>SW-FW-RID-33</v>
      </c>
      <c r="F65" s="4"/>
      <c r="G65" s="8" t="s">
        <v>134</v>
      </c>
      <c r="H65" s="22"/>
      <c r="I65" s="18" t="s">
        <v>115</v>
      </c>
      <c r="J65" s="18" t="s">
        <v>124</v>
      </c>
    </row>
    <row r="66" spans="2:10" ht="85" customHeight="1" x14ac:dyDescent="0.45">
      <c r="B66" s="4" t="str">
        <f>IF(COUNTA(C66),_xlfn.CONCAT("SW-FW-SYS-Test-ID-",COUNTA(C$34:C66)),"")</f>
        <v>SW-FW-SYS-Test-ID-33</v>
      </c>
      <c r="C66" s="44" t="s">
        <v>47</v>
      </c>
      <c r="D66" s="3" t="s">
        <v>25</v>
      </c>
      <c r="E66" s="15" t="str">
        <f>'[1]소프트웨어 입력 요구사항 사양서'!$G$39</f>
        <v>SW-FW-RID-34</v>
      </c>
      <c r="F66" s="4"/>
      <c r="G66" s="8" t="s">
        <v>134</v>
      </c>
      <c r="H66" s="22"/>
      <c r="I66" s="18" t="s">
        <v>117</v>
      </c>
      <c r="J66" s="18" t="s">
        <v>125</v>
      </c>
    </row>
    <row r="67" spans="2:10" ht="85" customHeight="1" x14ac:dyDescent="0.45">
      <c r="B67" s="4" t="str">
        <f>IF(COUNTA(C67),_xlfn.CONCAT("SW-FW-SYS-Test-ID-",COUNTA(C$34:C67)),"")</f>
        <v>SW-FW-SYS-Test-ID-34</v>
      </c>
      <c r="C67" s="44" t="s">
        <v>48</v>
      </c>
      <c r="D67" s="3" t="s">
        <v>25</v>
      </c>
      <c r="E67" s="4" t="str">
        <f>'[1]소프트웨어 입력 요구사항 사양서'!$G$40</f>
        <v>SW-FW-RID-35</v>
      </c>
      <c r="F67" s="4"/>
      <c r="G67" s="8" t="s">
        <v>134</v>
      </c>
      <c r="H67" s="22"/>
      <c r="I67" s="18" t="s">
        <v>119</v>
      </c>
      <c r="J67" s="18" t="s">
        <v>126</v>
      </c>
    </row>
    <row r="68" spans="2:10" ht="85" customHeight="1" x14ac:dyDescent="0.45">
      <c r="B68" s="4" t="str">
        <f>IF(COUNTA(C68),_xlfn.CONCAT("SW-FW-SYS-Test-ID-",COUNTA(C$34:C68)),"")</f>
        <v>SW-FW-SYS-Test-ID-35</v>
      </c>
      <c r="C68" s="44" t="s">
        <v>207</v>
      </c>
      <c r="D68" s="3" t="s">
        <v>25</v>
      </c>
      <c r="E68" s="15" t="str">
        <f>'[1]소프트웨어 입력 요구사항 사양서'!$G$41</f>
        <v>SW-FW-RID-36</v>
      </c>
      <c r="F68" s="4"/>
      <c r="G68" s="8" t="s">
        <v>174</v>
      </c>
      <c r="H68" s="22"/>
      <c r="I68" s="18" t="s">
        <v>179</v>
      </c>
      <c r="J68" s="18" t="s">
        <v>206</v>
      </c>
    </row>
    <row r="69" spans="2:10" ht="85" customHeight="1" x14ac:dyDescent="0.45">
      <c r="B69" s="4" t="str">
        <f>IF(COUNTA(C69),_xlfn.CONCAT("SW-FW-SYS-Test-ID-",COUNTA(C$34:C69)),"")</f>
        <v>SW-FW-SYS-Test-ID-36</v>
      </c>
      <c r="C69" s="44" t="s">
        <v>175</v>
      </c>
      <c r="D69" s="3" t="s">
        <v>25</v>
      </c>
      <c r="E69" s="15" t="str">
        <f>'[1]소프트웨어 입력 요구사항 사양서'!$G$42</f>
        <v>SW-FW-RID-37</v>
      </c>
      <c r="F69" s="4"/>
      <c r="G69" s="8" t="s">
        <v>174</v>
      </c>
      <c r="H69" s="22"/>
      <c r="I69" s="18" t="s">
        <v>181</v>
      </c>
      <c r="J69" s="18" t="s">
        <v>208</v>
      </c>
    </row>
    <row r="70" spans="2:10" ht="85" customHeight="1" x14ac:dyDescent="0.45">
      <c r="B70" s="4" t="str">
        <f>IF(COUNTA(C70),_xlfn.CONCAT("SW-FW-SYS-Test-ID-",COUNTA(C$34:C70)),"")</f>
        <v>SW-FW-SYS-Test-ID-37</v>
      </c>
      <c r="C70" s="44" t="s">
        <v>176</v>
      </c>
      <c r="D70" s="3" t="s">
        <v>25</v>
      </c>
      <c r="E70" s="15" t="str">
        <f>'[1]소프트웨어 입력 요구사항 사양서'!$G$43</f>
        <v>SW-FW-RID-38</v>
      </c>
      <c r="F70" s="4"/>
      <c r="G70" s="8" t="s">
        <v>174</v>
      </c>
      <c r="H70" s="22"/>
      <c r="I70" s="18" t="s">
        <v>182</v>
      </c>
      <c r="J70" s="18" t="s">
        <v>209</v>
      </c>
    </row>
    <row r="71" spans="2:10" ht="85" customHeight="1" x14ac:dyDescent="0.45">
      <c r="B71" s="4" t="str">
        <f>IF(COUNTA(C71),_xlfn.CONCAT("SW-FW-SYS-Test-ID-",COUNTA(C$34:C71)),"")</f>
        <v>SW-FW-SYS-Test-ID-38</v>
      </c>
      <c r="C71" s="44" t="s">
        <v>177</v>
      </c>
      <c r="D71" s="3" t="s">
        <v>25</v>
      </c>
      <c r="E71" s="15" t="str">
        <f>'[1]소프트웨어 입력 요구사항 사양서'!$G$44</f>
        <v>SW-FW-RID-39</v>
      </c>
      <c r="F71" s="4"/>
      <c r="G71" s="8" t="s">
        <v>174</v>
      </c>
      <c r="H71" s="22"/>
      <c r="I71" s="18" t="s">
        <v>179</v>
      </c>
      <c r="J71" s="18" t="s">
        <v>206</v>
      </c>
    </row>
    <row r="72" spans="2:10" ht="85" customHeight="1" x14ac:dyDescent="0.45">
      <c r="B72" s="4" t="str">
        <f>IF(COUNTA(C72),_xlfn.CONCAT("SW-FW-SYS-Test-ID-",COUNTA(C$34:C72)),"")</f>
        <v>SW-FW-SYS-Test-ID-39</v>
      </c>
      <c r="C72" s="44" t="s">
        <v>180</v>
      </c>
      <c r="D72" s="3" t="s">
        <v>25</v>
      </c>
      <c r="E72" s="15" t="str">
        <f>'[1]소프트웨어 입력 요구사항 사양서'!$G$45</f>
        <v>SW-FW-RID-40</v>
      </c>
      <c r="F72" s="4"/>
      <c r="G72" s="8" t="s">
        <v>174</v>
      </c>
      <c r="H72" s="22"/>
      <c r="I72" s="18" t="s">
        <v>266</v>
      </c>
      <c r="J72" s="18" t="s">
        <v>206</v>
      </c>
    </row>
    <row r="73" spans="2:10" ht="85" customHeight="1" x14ac:dyDescent="0.45">
      <c r="B73" s="4" t="str">
        <f>IF(COUNTA(C73),_xlfn.CONCAT("SW-FW-SYS-Test-ID-",COUNTA(C$34:C73)),"")</f>
        <v>SW-FW-SYS-Test-ID-40</v>
      </c>
      <c r="C73" s="44" t="s">
        <v>178</v>
      </c>
      <c r="D73" s="3" t="s">
        <v>25</v>
      </c>
      <c r="E73" s="15" t="str">
        <f>'[1]소프트웨어 입력 요구사항 사양서'!$G$46</f>
        <v>SW-FW-RID-41</v>
      </c>
      <c r="F73" s="4"/>
      <c r="G73" s="8" t="s">
        <v>174</v>
      </c>
      <c r="H73" s="22"/>
      <c r="I73" s="18" t="s">
        <v>205</v>
      </c>
      <c r="J73" s="18" t="s">
        <v>206</v>
      </c>
    </row>
    <row r="74" spans="2:10" ht="40" customHeight="1" x14ac:dyDescent="0.45">
      <c r="B74" s="4" t="str">
        <f>IF(COUNTA(C74),_xlfn.CONCAT("SW-FW-SYS-Test-ID-",COUNTA(C$34:C74)),"")</f>
        <v>SW-FW-SYS-Test-ID-41</v>
      </c>
      <c r="C74" s="44" t="s">
        <v>49</v>
      </c>
      <c r="D74" s="3" t="s">
        <v>25</v>
      </c>
      <c r="E74" s="15" t="str">
        <f>'[1]소프트웨어 입력 요구사항 사양서'!$G$47</f>
        <v>SW-FW-RID-42</v>
      </c>
      <c r="F74" s="4"/>
      <c r="G74" s="8" t="s">
        <v>267</v>
      </c>
      <c r="H74" s="21"/>
      <c r="I74" s="18" t="s">
        <v>130</v>
      </c>
      <c r="J74" s="18" t="s">
        <v>141</v>
      </c>
    </row>
    <row r="75" spans="2:10" ht="40" customHeight="1" x14ac:dyDescent="0.45">
      <c r="B75" s="4" t="str">
        <f>IF(COUNTA(C75),_xlfn.CONCAT("SW-FW-SYS-Test-ID-",COUNTA(C$34:C75)),"")</f>
        <v>SW-FW-SYS-Test-ID-42</v>
      </c>
      <c r="C75" s="44" t="s">
        <v>50</v>
      </c>
      <c r="D75" s="3" t="s">
        <v>25</v>
      </c>
      <c r="E75" s="4" t="str">
        <f>'[1]소프트웨어 입력 요구사항 사양서'!$G$48</f>
        <v>SW-FW-RID-43</v>
      </c>
      <c r="F75" s="4"/>
      <c r="G75" s="8" t="s">
        <v>267</v>
      </c>
      <c r="H75" s="22"/>
      <c r="I75" s="18" t="s">
        <v>130</v>
      </c>
      <c r="J75" s="18" t="s">
        <v>140</v>
      </c>
    </row>
    <row r="76" spans="2:10" ht="40" customHeight="1" x14ac:dyDescent="0.45">
      <c r="B76" s="4" t="str">
        <f>IF(COUNTA(C76),_xlfn.CONCAT("SW-FW-SYS-Test-ID-",COUNTA(C$34:C76)),"")</f>
        <v>SW-FW-SYS-Test-ID-43</v>
      </c>
      <c r="C76" s="44" t="s">
        <v>129</v>
      </c>
      <c r="D76" s="3" t="s">
        <v>25</v>
      </c>
      <c r="E76" s="15" t="str">
        <f>'[1]소프트웨어 입력 요구사항 사양서'!$G$49</f>
        <v>SW-FW-RID-44</v>
      </c>
      <c r="F76" s="4"/>
      <c r="G76" s="8" t="s">
        <v>267</v>
      </c>
      <c r="H76" s="22"/>
      <c r="I76" s="18" t="s">
        <v>130</v>
      </c>
      <c r="J76" s="18" t="s">
        <v>142</v>
      </c>
    </row>
    <row r="77" spans="2:10" ht="25" customHeight="1" x14ac:dyDescent="0.45">
      <c r="B77" s="4" t="str">
        <f>IF(COUNTA(C77),_xlfn.CONCAT("SW-FW-SYS-Test-ID-",COUNTA(C$34:C77)),"")</f>
        <v>SW-FW-SYS-Test-ID-44</v>
      </c>
      <c r="C77" s="44" t="s">
        <v>55</v>
      </c>
      <c r="D77" s="3" t="s">
        <v>68</v>
      </c>
      <c r="E77" s="15" t="str">
        <f>'[1]소프트웨어 입력 요구사항 사양서'!$G$50</f>
        <v>SW-FW-RID-45</v>
      </c>
      <c r="F77" s="4"/>
      <c r="G77" s="8"/>
      <c r="H77" s="21"/>
      <c r="I77" s="18" t="s">
        <v>143</v>
      </c>
      <c r="J77" s="18" t="s">
        <v>144</v>
      </c>
    </row>
    <row r="78" spans="2:10" ht="25" customHeight="1" x14ac:dyDescent="0.45">
      <c r="B78" s="4" t="str">
        <f>IF(COUNTA(C78),_xlfn.CONCAT("SW-FW-SYS-Test-ID-",COUNTA(C$34:C78)),"")</f>
        <v>SW-FW-SYS-Test-ID-45</v>
      </c>
      <c r="C78" s="44" t="s">
        <v>171</v>
      </c>
      <c r="D78" s="3" t="s">
        <v>68</v>
      </c>
      <c r="E78" s="15" t="str">
        <f>'[1]소프트웨어 입력 요구사항 사양서'!$G$51</f>
        <v/>
      </c>
      <c r="F78" s="4"/>
      <c r="G78" s="8"/>
      <c r="H78" s="21"/>
      <c r="I78" s="18" t="s">
        <v>172</v>
      </c>
      <c r="J78" s="18" t="s">
        <v>173</v>
      </c>
    </row>
    <row r="79" spans="2:10" ht="40" customHeight="1" x14ac:dyDescent="0.45">
      <c r="B79" s="4" t="str">
        <f>IF(COUNTA(C79),_xlfn.CONCAT("SW-FW-SYS-Test-ID-",COUNTA(C$34:C79)),"")</f>
        <v>SW-FW-SYS-Test-ID-46</v>
      </c>
      <c r="C79" s="45" t="s">
        <v>268</v>
      </c>
      <c r="D79" s="3" t="s">
        <v>25</v>
      </c>
      <c r="E79" s="15" t="str">
        <f>'[1]소프트웨어 입력 요구사항 사양서'!$G$53</f>
        <v>SW-FW-RID-47</v>
      </c>
      <c r="F79" s="4"/>
      <c r="G79" s="46" t="s">
        <v>269</v>
      </c>
      <c r="H79" s="22"/>
      <c r="I79" s="18" t="s">
        <v>270</v>
      </c>
      <c r="J79" s="18" t="s">
        <v>271</v>
      </c>
    </row>
    <row r="80" spans="2:10" ht="40" customHeight="1" x14ac:dyDescent="0.45">
      <c r="B80" s="4" t="str">
        <f>IF(COUNTA(C80),_xlfn.CONCAT("SW-FW-SYS-Test-ID-",COUNTA(C$34:C80)),"")</f>
        <v>SW-FW-SYS-Test-ID-47</v>
      </c>
      <c r="C80" s="44" t="s">
        <v>57</v>
      </c>
      <c r="D80" s="3" t="s">
        <v>25</v>
      </c>
      <c r="E80" s="4" t="str">
        <f>'[1]소프트웨어 입력 요구사항 사양서'!$G$54</f>
        <v>SW-FW-RID-48</v>
      </c>
      <c r="F80" s="4"/>
      <c r="G80" s="16" t="s">
        <v>148</v>
      </c>
      <c r="H80" s="21"/>
      <c r="I80" s="18" t="s">
        <v>149</v>
      </c>
      <c r="J80" s="18" t="s">
        <v>150</v>
      </c>
    </row>
    <row r="81" spans="2:10" ht="25" customHeight="1" x14ac:dyDescent="0.45">
      <c r="B81" s="4" t="str">
        <f>IF(COUNTA(C81),_xlfn.CONCAT("SW-FW-SYS-Test-ID-",COUNTA(C$34:C81)),"")</f>
        <v>SW-FW-SYS-Test-ID-48</v>
      </c>
      <c r="C81" s="44" t="s">
        <v>58</v>
      </c>
      <c r="D81" s="3" t="s">
        <v>25</v>
      </c>
      <c r="E81" s="4" t="str">
        <f>'[1]소프트웨어 입력 요구사항 사양서'!$G$55</f>
        <v>SW-FW-RID-49</v>
      </c>
      <c r="F81" s="4"/>
      <c r="G81" s="16"/>
      <c r="H81" s="21" t="s">
        <v>152</v>
      </c>
      <c r="I81" s="18" t="s">
        <v>153</v>
      </c>
      <c r="J81" s="18" t="s">
        <v>154</v>
      </c>
    </row>
    <row r="82" spans="2:10" ht="60" customHeight="1" x14ac:dyDescent="0.45">
      <c r="B82" s="4" t="str">
        <f>IF(COUNTA(C82),_xlfn.CONCAT("SW-FW-SYS-Test-ID-",COUNTA(C$34:C82)),"")</f>
        <v>SW-FW-SYS-Test-ID-49</v>
      </c>
      <c r="C82" s="44" t="s">
        <v>272</v>
      </c>
      <c r="D82" s="3" t="s">
        <v>68</v>
      </c>
      <c r="E82" s="15" t="str">
        <f>'[1]소프트웨어 입력 요구사항 사양서'!$G$56</f>
        <v>SW-FW-RID-50</v>
      </c>
      <c r="F82" s="4"/>
      <c r="G82" s="26"/>
      <c r="H82" s="22"/>
      <c r="I82" s="18" t="s">
        <v>143</v>
      </c>
      <c r="J82" s="18" t="s">
        <v>151</v>
      </c>
    </row>
    <row r="83" spans="2:10" ht="40" customHeight="1" x14ac:dyDescent="0.45">
      <c r="B83" s="4" t="str">
        <f>IF(COUNTA(C83),_xlfn.CONCAT("SW-FW-SYS-Test-ID-",COUNTA(C$34:C83)),"")</f>
        <v>SW-FW-SYS-Test-ID-50</v>
      </c>
      <c r="C83" s="44" t="s">
        <v>69</v>
      </c>
      <c r="D83" s="3" t="s">
        <v>25</v>
      </c>
      <c r="E83" s="15" t="str">
        <f>'[1]소프트웨어 입력 요구사항 사양서'!$G$57</f>
        <v>SW-FW-RID-51</v>
      </c>
      <c r="F83" s="4"/>
      <c r="G83" s="26"/>
      <c r="H83" s="25"/>
      <c r="I83" s="18" t="s">
        <v>156</v>
      </c>
      <c r="J83" s="18" t="s">
        <v>155</v>
      </c>
    </row>
    <row r="84" spans="2:10" ht="85" customHeight="1" x14ac:dyDescent="0.45">
      <c r="B84" s="4" t="str">
        <f>IF(COUNTA(C84),_xlfn.CONCAT("SW-FW-SYS-Test-ID-",COUNTA(C$34:C84)),"")</f>
        <v>SW-FW-SYS-Test-ID-51</v>
      </c>
      <c r="C84" s="44" t="s">
        <v>273</v>
      </c>
      <c r="D84" s="3" t="s">
        <v>25</v>
      </c>
      <c r="E84" s="15" t="str">
        <f>'[1]소프트웨어 입력 요구사항 사양서'!$G$58</f>
        <v>SW-FW-RID-52</v>
      </c>
      <c r="F84" s="4"/>
      <c r="G84" s="26"/>
      <c r="H84" s="22" t="s">
        <v>274</v>
      </c>
      <c r="I84" s="18" t="s">
        <v>275</v>
      </c>
      <c r="J84" s="18" t="s">
        <v>276</v>
      </c>
    </row>
    <row r="85" spans="2:10" ht="40" customHeight="1" x14ac:dyDescent="0.45">
      <c r="B85" s="4" t="str">
        <f>IF(COUNTA(C85),_xlfn.CONCAT("SW-FW-SYS-Test-ID-",COUNTA(C$34:C85)),"")</f>
        <v>SW-FW-SYS-Test-ID-52</v>
      </c>
      <c r="C85" s="44" t="s">
        <v>56</v>
      </c>
      <c r="D85" s="3" t="s">
        <v>25</v>
      </c>
      <c r="E85" s="15" t="str">
        <f>'[1]소프트웨어 입력 요구사항 사양서'!$G$59</f>
        <v>SW-FW-RID-53</v>
      </c>
      <c r="F85" s="4"/>
      <c r="G85" s="26" t="s">
        <v>145</v>
      </c>
      <c r="H85" s="22"/>
      <c r="I85" s="18" t="s">
        <v>146</v>
      </c>
      <c r="J85" s="18" t="s">
        <v>147</v>
      </c>
    </row>
    <row r="86" spans="2:10" ht="25" customHeight="1" x14ac:dyDescent="0.45">
      <c r="B86" s="4" t="str">
        <f>IF(COUNTA(C86),_xlfn.CONCAT("SW-FW-SYS-Test-ID-",COUNTA(C$34:C86)),"")</f>
        <v>SW-FW-SYS-Test-ID-53</v>
      </c>
      <c r="C86" s="44" t="s">
        <v>277</v>
      </c>
      <c r="D86" s="3" t="s">
        <v>278</v>
      </c>
      <c r="E86" s="15" t="str">
        <f>'[1]소프트웨어 입력 요구사항 사양서'!$G$60</f>
        <v>SW-FW-RID-54</v>
      </c>
      <c r="F86" s="4"/>
      <c r="G86" s="26"/>
      <c r="H86" s="22"/>
      <c r="I86" s="18" t="s">
        <v>279</v>
      </c>
      <c r="J86" s="18" t="s">
        <v>280</v>
      </c>
    </row>
    <row r="87" spans="2:10" ht="25" customHeight="1" x14ac:dyDescent="0.45">
      <c r="B87" s="4" t="str">
        <f>IF(COUNTA(C87),_xlfn.CONCAT("SW-FW-SYS-Test-ID-",COUNTA(C$34:C87)),"")</f>
        <v>SW-FW-SYS-Test-ID-54</v>
      </c>
      <c r="C87" s="44" t="s">
        <v>292</v>
      </c>
      <c r="D87" s="3" t="s">
        <v>293</v>
      </c>
      <c r="E87" s="15" t="str">
        <f>'[1]소프트웨어 입력 요구사항 사양서'!$G$61</f>
        <v>SW-FW-RID-55</v>
      </c>
      <c r="F87" s="4"/>
      <c r="G87" s="26"/>
      <c r="H87" s="22"/>
      <c r="I87" s="18" t="s">
        <v>294</v>
      </c>
      <c r="J87" s="18" t="s">
        <v>295</v>
      </c>
    </row>
    <row r="88" spans="2:10" ht="85" customHeight="1" x14ac:dyDescent="0.45">
      <c r="B88" s="4" t="str">
        <f>IF(COUNTA(C88),_xlfn.CONCAT("SW-FW-SYS-Test-ID-",COUNTA(C$34:C88)),"")</f>
        <v>SW-FW-SYS-Test-ID-55</v>
      </c>
      <c r="C88" s="44" t="s">
        <v>59</v>
      </c>
      <c r="D88" s="3" t="s">
        <v>25</v>
      </c>
      <c r="E88" s="15" t="str">
        <f>'[1]소프트웨어 입력 요구사항 사양서'!$G$62</f>
        <v>SW-FW-RID-56</v>
      </c>
      <c r="F88" s="4"/>
      <c r="G88" s="8" t="s">
        <v>134</v>
      </c>
      <c r="H88" s="21" t="s">
        <v>157</v>
      </c>
      <c r="I88" s="18" t="s">
        <v>133</v>
      </c>
      <c r="J88" s="18" t="s">
        <v>158</v>
      </c>
    </row>
    <row r="89" spans="2:10" ht="25" customHeight="1" x14ac:dyDescent="0.45">
      <c r="B89" s="4" t="str">
        <f>IF(COUNTA(C89),_xlfn.CONCAT("SW-FW-SYS-Test-ID-",COUNTA(C$34:C89)),"")</f>
        <v>SW-FW-SYS-Test-ID-56</v>
      </c>
      <c r="C89" s="44" t="s">
        <v>60</v>
      </c>
      <c r="D89" s="3" t="s">
        <v>25</v>
      </c>
      <c r="E89" s="15" t="str">
        <f>'[1]소프트웨어 입력 요구사항 사양서'!$G$68</f>
        <v>SW-FW-RID-57</v>
      </c>
      <c r="F89" s="4"/>
      <c r="G89" s="26" t="s">
        <v>159</v>
      </c>
      <c r="H89" s="22"/>
      <c r="I89" s="18" t="s">
        <v>160</v>
      </c>
      <c r="J89" s="18" t="s">
        <v>161</v>
      </c>
    </row>
    <row r="90" spans="2:10" ht="40" customHeight="1" x14ac:dyDescent="0.45">
      <c r="B90" s="4" t="str">
        <f>IF(COUNTA(C90),_xlfn.CONCAT("SW-FW-SYS-Test-ID-",COUNTA(C$34:C90)),"")</f>
        <v>SW-FW-SYS-Test-ID-57</v>
      </c>
      <c r="C90" s="5" t="s">
        <v>61</v>
      </c>
      <c r="D90" s="3" t="s">
        <v>68</v>
      </c>
      <c r="E90" s="4" t="str">
        <f>'[1]소프트웨어 입력 요구사항 사양서'!$G$69</f>
        <v>SW-FW-RID-58</v>
      </c>
      <c r="F90" s="4"/>
      <c r="G90" s="16"/>
      <c r="H90" s="21"/>
      <c r="I90" s="18" t="s">
        <v>163</v>
      </c>
      <c r="J90" s="18" t="s">
        <v>162</v>
      </c>
    </row>
    <row r="91" spans="2:10" ht="85" x14ac:dyDescent="0.45">
      <c r="B91" s="4" t="str">
        <f>IF(COUNTA(C91),_xlfn.CONCAT("SW-FW-SYS-Test-ID-",COUNTA(C$34:C91)),"")</f>
        <v>SW-FW-SYS-Test-ID-58</v>
      </c>
      <c r="C91" s="5" t="s">
        <v>62</v>
      </c>
      <c r="D91" s="3" t="s">
        <v>25</v>
      </c>
      <c r="E91" s="4" t="str">
        <f>'[1]소프트웨어 입력 요구사항 사양서'!$G$70</f>
        <v>SW-FW-RID-59</v>
      </c>
      <c r="F91" s="4"/>
      <c r="G91" s="8" t="s">
        <v>165</v>
      </c>
      <c r="H91" s="22" t="s">
        <v>164</v>
      </c>
      <c r="I91" s="18" t="s">
        <v>215</v>
      </c>
      <c r="J91" s="18" t="s">
        <v>214</v>
      </c>
    </row>
    <row r="92" spans="2:10" ht="40" customHeight="1" x14ac:dyDescent="0.45">
      <c r="B92" s="4" t="str">
        <f>IF(COUNTA(C92),_xlfn.CONCAT("SW-FW-SYS-Test-ID-",COUNTA(C$34:C92)),"")</f>
        <v>SW-FW-SYS-Test-ID-59</v>
      </c>
      <c r="C92" s="5" t="s">
        <v>260</v>
      </c>
      <c r="D92" s="3" t="s">
        <v>25</v>
      </c>
      <c r="E92" s="4" t="str">
        <f>'[1]소프트웨어 입력 요구사항 사양서'!$G$71</f>
        <v>SW-FW-RID-60</v>
      </c>
      <c r="F92" s="4"/>
      <c r="G92" s="8" t="s">
        <v>159</v>
      </c>
      <c r="H92" s="22" t="s">
        <v>183</v>
      </c>
      <c r="I92" s="18" t="s">
        <v>184</v>
      </c>
      <c r="J92" s="18" t="s">
        <v>185</v>
      </c>
    </row>
    <row r="93" spans="2:10" ht="40" customHeight="1" x14ac:dyDescent="0.45">
      <c r="B93" s="4" t="str">
        <f>IF(COUNTA(C93),_xlfn.CONCAT("SW-FW-SYS-Test-ID-",COUNTA(C$34:C93)),"")</f>
        <v>SW-FW-SYS-Test-ID-60</v>
      </c>
      <c r="C93" s="5" t="s">
        <v>63</v>
      </c>
      <c r="D93" s="3" t="s">
        <v>68</v>
      </c>
      <c r="E93" s="4" t="str">
        <f>'[1]소프트웨어 입력 요구사항 사양서'!$G$72</f>
        <v>SW-FW-RID-61</v>
      </c>
      <c r="F93" s="4"/>
      <c r="H93" s="21"/>
      <c r="I93" s="18" t="s">
        <v>143</v>
      </c>
      <c r="J93" s="18" t="s">
        <v>166</v>
      </c>
    </row>
    <row r="94" spans="2:10" x14ac:dyDescent="0.45">
      <c r="B94" s="4" t="str">
        <f>IF(COUNTA(C94),_xlfn.CONCAT("SW-FW-SYS-Test-ID-",COUNTA(C$34:C94)),"")</f>
        <v>SW-FW-SYS-Test-ID-61</v>
      </c>
      <c r="C94" s="5" t="s">
        <v>64</v>
      </c>
      <c r="D94" s="3" t="s">
        <v>25</v>
      </c>
      <c r="E94" s="4" t="str">
        <f>'[1]소프트웨어 입력 요구사항 사양서'!$G$73</f>
        <v>SW-FW-RID-62</v>
      </c>
      <c r="F94" s="4"/>
      <c r="G94" s="16" t="s">
        <v>211</v>
      </c>
      <c r="H94" s="22"/>
      <c r="I94" s="18" t="s">
        <v>210</v>
      </c>
      <c r="J94" s="18" t="s">
        <v>212</v>
      </c>
    </row>
    <row r="95" spans="2:10" x14ac:dyDescent="0.45">
      <c r="B95" s="4" t="str">
        <f>IF(COUNTA(C95),_xlfn.CONCAT("SW-FW-SYS-Test-ID-",COUNTA(C$34:C95)),"")</f>
        <v>SW-FW-SYS-Test-ID-62</v>
      </c>
      <c r="C95" s="47" t="s">
        <v>281</v>
      </c>
      <c r="D95" s="3" t="s">
        <v>25</v>
      </c>
      <c r="E95" s="4" t="str">
        <f>'[1]소프트웨어 입력 요구사항 사양서'!$G$74</f>
        <v>SW-FW-RID-63</v>
      </c>
      <c r="F95" s="4"/>
      <c r="G95" s="16"/>
      <c r="H95" s="22"/>
      <c r="I95" s="18"/>
      <c r="J95" s="18"/>
    </row>
    <row r="96" spans="2:10" x14ac:dyDescent="0.45">
      <c r="B96" s="4" t="str">
        <f>IF(COUNTA(C96),_xlfn.CONCAT("SW-FW-SYS-Test-ID-",COUNTA(C$34:C96)),"")</f>
        <v>SW-FW-SYS-Test-ID-63</v>
      </c>
      <c r="C96" s="5" t="s">
        <v>282</v>
      </c>
      <c r="D96" s="3" t="s">
        <v>25</v>
      </c>
      <c r="E96" s="4" t="str">
        <f>'[1]소프트웨어 입력 요구사항 사양서'!$G$75</f>
        <v>SW-FW-RID-64</v>
      </c>
      <c r="F96" s="4"/>
      <c r="G96" s="16"/>
      <c r="H96" s="22"/>
      <c r="I96" s="18"/>
      <c r="J96" s="18"/>
    </row>
    <row r="97" spans="2:10" ht="32" x14ac:dyDescent="0.45">
      <c r="B97" s="4" t="str">
        <f>IF(COUNTA(C97),_xlfn.CONCAT("SW-FW-SYS-Test-ID-",COUNTA(C$34:C97)),"")</f>
        <v>SW-FW-SYS-Test-ID-64</v>
      </c>
      <c r="C97" s="5" t="s">
        <v>65</v>
      </c>
      <c r="D97" s="3" t="s">
        <v>25</v>
      </c>
      <c r="E97" s="4" t="str">
        <f>'[1]소프트웨어 입력 요구사항 사양서'!$G$76</f>
        <v>SW-FW-RID-65</v>
      </c>
      <c r="F97" s="4"/>
      <c r="G97" s="16"/>
      <c r="H97" s="21"/>
      <c r="I97" s="18" t="s">
        <v>167</v>
      </c>
      <c r="J97" s="18" t="s">
        <v>168</v>
      </c>
    </row>
    <row r="98" spans="2:10" ht="32" x14ac:dyDescent="0.45">
      <c r="B98" s="4" t="str">
        <f>IF(COUNTA(C98),_xlfn.CONCAT("SW-FW-SYS-Test-ID-",COUNTA(C$34:C98)),"")</f>
        <v>SW-FW-SYS-Test-ID-65</v>
      </c>
      <c r="C98" s="5" t="s">
        <v>66</v>
      </c>
      <c r="D98" s="3" t="s">
        <v>68</v>
      </c>
      <c r="E98" s="4" t="str">
        <f>'[1]소프트웨어 입력 요구사항 사양서'!$G$77</f>
        <v>SW-FW-RID-66</v>
      </c>
      <c r="F98" s="4"/>
      <c r="G98" s="16"/>
      <c r="H98" s="21"/>
      <c r="I98" s="18" t="s">
        <v>169</v>
      </c>
      <c r="J98" s="18" t="s">
        <v>170</v>
      </c>
    </row>
    <row r="99" spans="2:10" ht="32" x14ac:dyDescent="0.45">
      <c r="B99" s="4" t="str">
        <f>IF(COUNTA(C99),_xlfn.CONCAT("SW-FW-SYS-Test-ID-",COUNTA(C$34:C99)),"")</f>
        <v>SW-FW-SYS-Test-ID-66</v>
      </c>
      <c r="C99" s="5" t="s">
        <v>283</v>
      </c>
      <c r="D99" s="3" t="s">
        <v>68</v>
      </c>
      <c r="E99" s="4" t="str">
        <f>'[1]소프트웨어 입력 요구사항 사양서'!$G$78</f>
        <v>SW-FW-RID-67</v>
      </c>
      <c r="F99" s="4"/>
      <c r="G99" s="16"/>
      <c r="H99" s="21"/>
      <c r="I99" s="18" t="s">
        <v>284</v>
      </c>
      <c r="J99" s="18" t="s">
        <v>285</v>
      </c>
    </row>
    <row r="100" spans="2:10" ht="32" x14ac:dyDescent="0.45">
      <c r="B100" s="4" t="str">
        <f>IF(COUNTA(C100),_xlfn.CONCAT("SW-FW-SYS-Test-ID-",COUNTA(C$34:C100)),"")</f>
        <v>SW-FW-SYS-Test-ID-67</v>
      </c>
      <c r="C100" s="5" t="s">
        <v>286</v>
      </c>
      <c r="D100" s="3" t="s">
        <v>25</v>
      </c>
      <c r="E100" s="4" t="str">
        <f>'[1]소프트웨어 입력 요구사항 사양서'!$G$79</f>
        <v>SW-FW-RID-68</v>
      </c>
      <c r="F100" s="4"/>
      <c r="G100" s="16"/>
      <c r="H100" s="21"/>
      <c r="I100" s="18" t="s">
        <v>287</v>
      </c>
      <c r="J100" s="18" t="s">
        <v>288</v>
      </c>
    </row>
    <row r="101" spans="2:10" ht="32" x14ac:dyDescent="0.45">
      <c r="B101" s="4" t="str">
        <f>IF(COUNTA(C101),_xlfn.CONCAT("SW-FW-SYS-Test-ID-",COUNTA(C$34:C101)),"")</f>
        <v>SW-FW-SYS-Test-ID-68</v>
      </c>
      <c r="C101" s="5" t="s">
        <v>289</v>
      </c>
      <c r="D101" s="3" t="s">
        <v>25</v>
      </c>
      <c r="E101" s="4">
        <f>'[1]소프트웨어 입력 요구사항 사양서'!$G$80</f>
        <v>0</v>
      </c>
      <c r="F101" s="4"/>
      <c r="G101" s="16"/>
      <c r="H101" s="21"/>
      <c r="I101" s="18" t="s">
        <v>290</v>
      </c>
      <c r="J101" s="18" t="s">
        <v>291</v>
      </c>
    </row>
    <row r="108" spans="2:10" ht="21" x14ac:dyDescent="0.45">
      <c r="B108" s="31" t="s">
        <v>263</v>
      </c>
    </row>
    <row r="109" spans="2:10" x14ac:dyDescent="0.45">
      <c r="B109" s="27" t="s">
        <v>259</v>
      </c>
    </row>
    <row r="110" spans="2:10" x14ac:dyDescent="0.45">
      <c r="B110" s="27"/>
    </row>
    <row r="112" spans="2:10" ht="21" x14ac:dyDescent="0.45">
      <c r="B112" s="32" t="s">
        <v>252</v>
      </c>
    </row>
    <row r="113" spans="3:5" ht="20.149999999999999" customHeight="1" x14ac:dyDescent="0.45">
      <c r="C113" s="33" t="s">
        <v>253</v>
      </c>
    </row>
    <row r="114" spans="3:5" ht="20.149999999999999" customHeight="1" x14ac:dyDescent="0.45">
      <c r="C114" s="33" t="s">
        <v>254</v>
      </c>
    </row>
    <row r="115" spans="3:5" ht="20.149999999999999" customHeight="1" x14ac:dyDescent="0.45"/>
    <row r="116" spans="3:5" ht="20.149999999999999" customHeight="1" x14ac:dyDescent="0.45">
      <c r="C116" s="71" t="s">
        <v>255</v>
      </c>
      <c r="D116" s="71"/>
      <c r="E116" s="71"/>
    </row>
    <row r="117" spans="3:5" ht="20.149999999999999" customHeight="1" x14ac:dyDescent="0.45">
      <c r="C117" s="33" t="s">
        <v>256</v>
      </c>
    </row>
    <row r="118" spans="3:5" ht="20.149999999999999" customHeight="1" x14ac:dyDescent="0.45"/>
    <row r="119" spans="3:5" ht="20.149999999999999" customHeight="1" x14ac:dyDescent="0.45">
      <c r="C119" s="71" t="s">
        <v>257</v>
      </c>
      <c r="D119" s="71"/>
      <c r="E119" s="71"/>
    </row>
    <row r="120" spans="3:5" ht="20.149999999999999" customHeight="1" x14ac:dyDescent="0.45">
      <c r="C120" s="33" t="s">
        <v>256</v>
      </c>
    </row>
    <row r="121" spans="3:5" ht="20.149999999999999" customHeight="1" x14ac:dyDescent="0.45"/>
    <row r="122" spans="3:5" ht="20.149999999999999" customHeight="1" x14ac:dyDescent="0.45">
      <c r="C122" s="71" t="s">
        <v>258</v>
      </c>
      <c r="D122" s="71"/>
      <c r="E122" s="71"/>
    </row>
    <row r="123" spans="3:5" ht="20.149999999999999" customHeight="1" x14ac:dyDescent="0.45">
      <c r="C123" s="33" t="s">
        <v>256</v>
      </c>
    </row>
  </sheetData>
  <mergeCells count="27">
    <mergeCell ref="G32:G33"/>
    <mergeCell ref="H32:H33"/>
    <mergeCell ref="I32:I33"/>
    <mergeCell ref="J32:J33"/>
    <mergeCell ref="B32:B33"/>
    <mergeCell ref="C32:C33"/>
    <mergeCell ref="D32:D33"/>
    <mergeCell ref="E32:F32"/>
    <mergeCell ref="B2:F3"/>
    <mergeCell ref="D7:F7"/>
    <mergeCell ref="D8:F8"/>
    <mergeCell ref="C11:F11"/>
    <mergeCell ref="D15:F15"/>
    <mergeCell ref="C116:E116"/>
    <mergeCell ref="C119:E119"/>
    <mergeCell ref="C122:E122"/>
    <mergeCell ref="D16:F16"/>
    <mergeCell ref="D17:F17"/>
    <mergeCell ref="D23:F23"/>
    <mergeCell ref="D24:F24"/>
    <mergeCell ref="D25:F25"/>
    <mergeCell ref="D26:F26"/>
    <mergeCell ref="D18:F18"/>
    <mergeCell ref="D19:F19"/>
    <mergeCell ref="D20:F20"/>
    <mergeCell ref="D21:F21"/>
    <mergeCell ref="D22:F22"/>
  </mergeCells>
  <phoneticPr fontId="1" type="noConversion"/>
  <pageMargins left="0.25" right="0.25" top="0.75" bottom="0.75" header="0.3" footer="0.3"/>
  <pageSetup paperSize="9"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기준서_시스템 시험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</dc:creator>
  <cp:lastModifiedBy>임정우</cp:lastModifiedBy>
  <cp:lastPrinted>2024-11-25T11:29:14Z</cp:lastPrinted>
  <dcterms:created xsi:type="dcterms:W3CDTF">2015-06-05T18:19:34Z</dcterms:created>
  <dcterms:modified xsi:type="dcterms:W3CDTF">2024-11-25T11:29:39Z</dcterms:modified>
</cp:coreProperties>
</file>