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workspace\projects\sound1-fw-e8300-backup\docs\참고\인허가\사운드1\DHF\02_설계 입력\SW\펌웨어\"/>
    </mc:Choice>
  </mc:AlternateContent>
  <xr:revisionPtr revIDLastSave="0" documentId="13_ncr:1_{F47090C3-4E9A-483C-80E5-81955D00C8D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표지" sheetId="1" r:id="rId1"/>
    <sheet name="소프트웨어 입력 요구사항 사양서" sheetId="3" r:id="rId2"/>
  </sheets>
  <definedNames>
    <definedName name="_xlnm.Print_Area" localSheetId="1">'소프트웨어 입력 요구사항 사양서'!$B$3:$I$92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2" i="3" l="1"/>
  <c r="G92" i="3"/>
  <c r="G91" i="3"/>
  <c r="G90" i="3"/>
  <c r="G89" i="3"/>
  <c r="G88" i="3"/>
  <c r="G87" i="3"/>
  <c r="G86" i="3"/>
  <c r="G85" i="3"/>
  <c r="G84" i="3"/>
  <c r="G83" i="3"/>
  <c r="G82" i="3"/>
  <c r="G81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1" i="3"/>
  <c r="G60" i="3"/>
  <c r="G59" i="3"/>
  <c r="G58" i="3"/>
  <c r="G57" i="3"/>
  <c r="G56" i="3"/>
  <c r="G55" i="3"/>
  <c r="G54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johnnyTodoc</author>
  </authors>
  <commentList>
    <comment ref="B54" authorId="0" shapeId="0" xr:uid="{B3869456-A583-49D1-9B7C-7D597F62B26F}">
      <text>
        <r>
          <rPr>
            <b/>
            <sz val="9"/>
            <color indexed="81"/>
            <rFont val="Tahoma"/>
            <family val="2"/>
          </rPr>
          <t>johnnyTodoc: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내부기</t>
        </r>
        <r>
          <rPr>
            <sz val="9"/>
            <color indexed="81"/>
            <rFont val="Tahoma"/>
            <family val="2"/>
          </rPr>
          <t xml:space="preserve"> ID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passkey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내부기의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하드웨어적인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보안기능이다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펌웨어는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해당하는</t>
        </r>
        <r>
          <rPr>
            <sz val="9"/>
            <color indexed="81"/>
            <rFont val="Tahoma"/>
            <family val="2"/>
          </rPr>
          <t xml:space="preserve"> passkey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전달만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한다</t>
        </r>
        <r>
          <rPr>
            <sz val="9"/>
            <color indexed="81"/>
            <rFont val="Tahoma"/>
            <family val="2"/>
          </rPr>
          <t xml:space="preserve">.
</t>
        </r>
      </text>
    </comment>
  </commentList>
</comments>
</file>

<file path=xl/sharedStrings.xml><?xml version="1.0" encoding="utf-8"?>
<sst xmlns="http://schemas.openxmlformats.org/spreadsheetml/2006/main" count="220" uniqueCount="213">
  <si>
    <t>문서번호</t>
    <phoneticPr fontId="3" type="noConversion"/>
  </si>
  <si>
    <t>버전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</si>
  <si>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</si>
  <si>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</si>
  <si>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</si>
  <si>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서명</t>
    <phoneticPr fontId="3" type="noConversion"/>
  </si>
  <si>
    <t>개정이력</t>
    <phoneticPr fontId="3" type="noConversion"/>
  </si>
  <si>
    <t>개정번호</t>
    <phoneticPr fontId="3" type="noConversion"/>
  </si>
  <si>
    <t>개정날짜</t>
    <phoneticPr fontId="3" type="noConversion"/>
  </si>
  <si>
    <t>개정내용</t>
    <phoneticPr fontId="3" type="noConversion"/>
  </si>
  <si>
    <t>요구사항 식별</t>
    <phoneticPr fontId="1" type="noConversion"/>
  </si>
  <si>
    <t xml:space="preserve">자극율 </t>
    <phoneticPr fontId="1" type="noConversion"/>
  </si>
  <si>
    <t>자극 모드</t>
    <phoneticPr fontId="1" type="noConversion"/>
  </si>
  <si>
    <t>선행 펄스 모양</t>
    <phoneticPr fontId="1" type="noConversion"/>
  </si>
  <si>
    <t xml:space="preserve">자극 크기 </t>
    <phoneticPr fontId="1" type="noConversion"/>
  </si>
  <si>
    <t>입력</t>
    <phoneticPr fontId="1" type="noConversion"/>
  </si>
  <si>
    <t>입력단</t>
    <phoneticPr fontId="1" type="noConversion"/>
  </si>
  <si>
    <t>출력단</t>
    <phoneticPr fontId="1" type="noConversion"/>
  </si>
  <si>
    <t>기기 인터페이스</t>
    <phoneticPr fontId="1" type="noConversion"/>
  </si>
  <si>
    <t>리모콘</t>
    <phoneticPr fontId="1" type="noConversion"/>
  </si>
  <si>
    <t xml:space="preserve">자극 펄스폭  </t>
    <phoneticPr fontId="1" type="noConversion"/>
  </si>
  <si>
    <t>negative/positive phase 선택이 가능해야 한다.</t>
    <phoneticPr fontId="1" type="noConversion"/>
  </si>
  <si>
    <t>1~32채널의 대역수로 주파수 분석이 가능해야한다.</t>
    <phoneticPr fontId="1" type="noConversion"/>
  </si>
  <si>
    <t>오디오 신호처리의 최종 출력은 PCM 데이터로 변환되어 FPGA에 전달되어야 한다.</t>
    <phoneticPr fontId="1" type="noConversion"/>
  </si>
  <si>
    <t>내용 상세</t>
    <phoneticPr fontId="1" type="noConversion"/>
  </si>
  <si>
    <t>매핑 데이터</t>
    <phoneticPr fontId="1" type="noConversion"/>
  </si>
  <si>
    <t>I2C 프로토콜을 사용하여 FPGA와 데이터 송/수신이 가능해야한다.</t>
    <phoneticPr fontId="1" type="noConversion"/>
  </si>
  <si>
    <t xml:space="preserve">FPGA </t>
    <phoneticPr fontId="1" type="noConversion"/>
  </si>
  <si>
    <t>센서</t>
    <phoneticPr fontId="1" type="noConversion"/>
  </si>
  <si>
    <t>프로그램 변경하기</t>
    <phoneticPr fontId="1" type="noConversion"/>
  </si>
  <si>
    <t>오디오 볼륨 조절하기</t>
    <phoneticPr fontId="1" type="noConversion"/>
  </si>
  <si>
    <t>자극 볼륨 조절하기</t>
    <phoneticPr fontId="1" type="noConversion"/>
  </si>
  <si>
    <t>자극 알림 켜기/끄기</t>
    <phoneticPr fontId="1" type="noConversion"/>
  </si>
  <si>
    <t>LED 알림 켜기/끄기</t>
    <phoneticPr fontId="1" type="noConversion"/>
  </si>
  <si>
    <t>배터리 상태</t>
    <phoneticPr fontId="1" type="noConversion"/>
  </si>
  <si>
    <t>오디오 볼륨 단계</t>
    <phoneticPr fontId="1" type="noConversion"/>
  </si>
  <si>
    <t>자극 볼륨 단계</t>
    <phoneticPr fontId="1" type="noConversion"/>
  </si>
  <si>
    <t>LED 알림 설정 상태</t>
    <phoneticPr fontId="1" type="noConversion"/>
  </si>
  <si>
    <t>자극 알림 설정 상태</t>
    <phoneticPr fontId="1" type="noConversion"/>
  </si>
  <si>
    <t>입력(수신)</t>
    <phoneticPr fontId="1" type="noConversion"/>
  </si>
  <si>
    <t>출력(송신)</t>
    <phoneticPr fontId="1" type="noConversion"/>
  </si>
  <si>
    <t>사용자 인터페이스
(외부기 자체)</t>
    <phoneticPr fontId="1" type="noConversion"/>
  </si>
  <si>
    <t>선택된 맵 번호</t>
    <phoneticPr fontId="1" type="noConversion"/>
  </si>
  <si>
    <t>사용자 인터페이스
(리모콘 앱 통신)</t>
    <phoneticPr fontId="1" type="noConversion"/>
  </si>
  <si>
    <t>자극 크기/펄스폭 관계</t>
    <phoneticPr fontId="1" type="noConversion"/>
  </si>
  <si>
    <t>자극 기법</t>
    <phoneticPr fontId="1" type="noConversion"/>
  </si>
  <si>
    <t>NA</t>
    <phoneticPr fontId="1" type="noConversion"/>
  </si>
  <si>
    <t>소분류</t>
    <phoneticPr fontId="1" type="noConversion"/>
  </si>
  <si>
    <t>대분류 (IEC 62304 5.2.2)</t>
    <phoneticPr fontId="1" type="noConversion"/>
  </si>
  <si>
    <t>c) 소프트웨어 시스템과 다른 소프트웨어 사이의 연계성
(interfaces between the SOFTWARE SYSTEM and other SYSTEMS)</t>
    <phoneticPr fontId="1" type="noConversion"/>
  </si>
  <si>
    <t>d) 소프트웨어 구동 경보, 경고 및 운영자 메시지
(software-driven alarms, warnings, and operator messages)</t>
    <phoneticPr fontId="1" type="noConversion"/>
  </si>
  <si>
    <t>f) 사람에 의해 발생하는 오류와 훈련에 민감한 사용성 공학 요구사항
(usability engineering requirements that are sensitive to human errors and training)</t>
    <phoneticPr fontId="1" type="noConversion"/>
  </si>
  <si>
    <t>g) 데이터 정의 및 데이터 베이스 요구사항
(data definition and database requirements)</t>
    <phoneticPr fontId="1" type="noConversion"/>
  </si>
  <si>
    <t>h) 운영 및 유지보수 현장에 인도된 의료기기 소프트웨어의 설치 및 인수 요구사항
(installation and acceptance requirements of the delivered MEDICAL DEVICE SOFTWARE at the operation and maintenance site or sites)</t>
    <phoneticPr fontId="1" type="noConversion"/>
  </si>
  <si>
    <t>i) 운영 및 유지보수 방법에 관련된 요구사항
requirements related to methods of operation and maintenance</t>
    <phoneticPr fontId="1" type="noConversion"/>
  </si>
  <si>
    <t>j) 개발할 사용자 설명서
(user documentation to be developed)</t>
    <phoneticPr fontId="1" type="noConversion"/>
  </si>
  <si>
    <t>k) 사용자 유지보수 요구사항
(user maintenance requirements)</t>
    <phoneticPr fontId="1" type="noConversion"/>
  </si>
  <si>
    <t>l) 규제적 요구사항
(regulatory requirements)</t>
    <phoneticPr fontId="1" type="noConversion"/>
  </si>
  <si>
    <t>매핑 데이터에 기반하여 최종 자극 파라미터가 생성되어야 한다.</t>
    <phoneticPr fontId="1" type="noConversion"/>
  </si>
  <si>
    <t>인공와우 내부기 시스템의 전극에서 출력되는 최대 전하량이 안전치를 초과하지 않도록 펄스폭에 따라 최종 자극 크기의 제한이 필요하다.</t>
    <phoneticPr fontId="1" type="noConversion"/>
  </si>
  <si>
    <t>주파수 분석 방법</t>
    <phoneticPr fontId="1" type="noConversion"/>
  </si>
  <si>
    <t>주파수 분석 대역수</t>
    <phoneticPr fontId="1" type="noConversion"/>
  </si>
  <si>
    <t>자극 출력 조정</t>
    <phoneticPr fontId="1" type="noConversion"/>
  </si>
  <si>
    <t>사운드  처리</t>
    <phoneticPr fontId="1" type="noConversion"/>
  </si>
  <si>
    <t>FFT 방식으로 신호의 주파수를 성분을 분석한다.</t>
    <phoneticPr fontId="1" type="noConversion"/>
  </si>
  <si>
    <t>사운드 처리 주기</t>
    <phoneticPr fontId="1" type="noConversion"/>
  </si>
  <si>
    <t>자극 볼륨 조절</t>
    <phoneticPr fontId="1" type="noConversion"/>
  </si>
  <si>
    <t>b) 소프트웨어 시스템 입력과 출력
(SOFTWARE SYSTEM inputs and outputs)</t>
    <phoneticPr fontId="1" type="noConversion"/>
  </si>
  <si>
    <t>e) 보안 요구사항
(SECURITY requirements)</t>
    <phoneticPr fontId="1" type="noConversion"/>
  </si>
  <si>
    <t>채널별 최대</t>
    <phoneticPr fontId="1" type="noConversion"/>
  </si>
  <si>
    <t>다른 발생원 추적
(설계 입력 요구사항 사양서)</t>
    <phoneticPr fontId="1" type="noConversion"/>
  </si>
  <si>
    <t>펌웨어 부분</t>
    <phoneticPr fontId="1" type="noConversion"/>
  </si>
  <si>
    <t>그 외</t>
    <phoneticPr fontId="1" type="noConversion"/>
  </si>
  <si>
    <t>IEC 60601-1
(IEC 62304에 포함되지 않은 사항)</t>
    <phoneticPr fontId="1" type="noConversion"/>
  </si>
  <si>
    <t>사이버 보안</t>
    <phoneticPr fontId="1" type="noConversion"/>
  </si>
  <si>
    <t>LED 출력</t>
    <phoneticPr fontId="1" type="noConversion"/>
  </si>
  <si>
    <t>자극 출력</t>
    <phoneticPr fontId="1" type="noConversion"/>
  </si>
  <si>
    <t>중복실수</t>
    <phoneticPr fontId="1" type="noConversion"/>
  </si>
  <si>
    <t xml:space="preserve">소프트웨어 요구사항 </t>
    <phoneticPr fontId="1" type="noConversion"/>
  </si>
  <si>
    <t>마이크 감도 
조절 기능</t>
    <phoneticPr fontId="1" type="noConversion"/>
  </si>
  <si>
    <t>전채널 최대</t>
    <phoneticPr fontId="1" type="noConversion"/>
  </si>
  <si>
    <t>자극 볼륨은 4단계로 조정 가능해야한다.</t>
    <phoneticPr fontId="1" type="noConversion"/>
  </si>
  <si>
    <t>모노폴라 자극 모드 출력이 가능해야한다.</t>
    <phoneticPr fontId="1" type="noConversion"/>
  </si>
  <si>
    <t>내부 자극칩 출력 범위 내에서 조정이 가능해야 한다.</t>
    <phoneticPr fontId="1" type="noConversion"/>
  </si>
  <si>
    <t>전처리</t>
    <phoneticPr fontId="1" type="noConversion"/>
  </si>
  <si>
    <t>AGC를 사용한 감도 조절 10단계</t>
    <phoneticPr fontId="1" type="noConversion"/>
  </si>
  <si>
    <t>기능</t>
    <phoneticPr fontId="1" type="noConversion"/>
  </si>
  <si>
    <t>프로그램 수</t>
    <phoneticPr fontId="1" type="noConversion"/>
  </si>
  <si>
    <t>4개의 맵 데이터를 사용할 수 있어야 한다.</t>
    <phoneticPr fontId="1" type="noConversion"/>
  </si>
  <si>
    <t>출력</t>
    <phoneticPr fontId="1" type="noConversion"/>
  </si>
  <si>
    <t>PMIC</t>
    <phoneticPr fontId="1" type="noConversion"/>
  </si>
  <si>
    <t>I2C를 프로토콜을 사용하여 PMIC의 조정이 가능해야한다.</t>
    <phoneticPr fontId="1" type="noConversion"/>
  </si>
  <si>
    <t>사용자 인터페이스
(매핑 앱 통신)</t>
    <phoneticPr fontId="1" type="noConversion"/>
  </si>
  <si>
    <t xml:space="preserve">시스템 상태 </t>
    <phoneticPr fontId="1" type="noConversion"/>
  </si>
  <si>
    <t>특정 자극 출력</t>
    <phoneticPr fontId="1" type="noConversion"/>
  </si>
  <si>
    <t>특정 자극 출력 결과</t>
    <phoneticPr fontId="1" type="noConversion"/>
  </si>
  <si>
    <t>실시간 자극 진행 상태</t>
    <phoneticPr fontId="1" type="noConversion"/>
  </si>
  <si>
    <t>매핑</t>
    <phoneticPr fontId="1" type="noConversion"/>
  </si>
  <si>
    <t>시스템 상태 확인</t>
    <phoneticPr fontId="1" type="noConversion"/>
  </si>
  <si>
    <t xml:space="preserve">실시간 자극 출력 진행 </t>
    <phoneticPr fontId="1" type="noConversion"/>
  </si>
  <si>
    <t>a) 기능 및 성능 요구사항
functional and capability requirements</t>
    <phoneticPr fontId="1" type="noConversion"/>
  </si>
  <si>
    <t>외부기 동작 상태를 표시한다.</t>
    <phoneticPr fontId="1" type="noConversion"/>
  </si>
  <si>
    <t>전원 커넥터 연결 상태를 표시한다.</t>
    <phoneticPr fontId="1" type="noConversion"/>
  </si>
  <si>
    <t>배터리 저전압 상태를  표시한다.</t>
    <phoneticPr fontId="1" type="noConversion"/>
  </si>
  <si>
    <t>배터리 저전압 상태를 자극으로 출력한다.</t>
    <phoneticPr fontId="1" type="noConversion"/>
  </si>
  <si>
    <t>Rev. 0</t>
    <phoneticPr fontId="3" type="noConversion"/>
  </si>
  <si>
    <t>소속/부서</t>
    <phoneticPr fontId="3" type="noConversion"/>
  </si>
  <si>
    <t>성명</t>
    <phoneticPr fontId="3" type="noConversion"/>
  </si>
  <si>
    <t>일자</t>
    <phoneticPr fontId="3" type="noConversion"/>
  </si>
  <si>
    <t>최초 작성</t>
    <phoneticPr fontId="3" type="noConversion"/>
  </si>
  <si>
    <t>SRS-FW-TD24A</t>
  </si>
  <si>
    <t>소프트웨어 요구사항 사양서
(TD24A-A-EXT)</t>
  </si>
  <si>
    <t>토닥 / 수석연구원</t>
  </si>
  <si>
    <t>김은수</t>
  </si>
  <si>
    <t>SYS-RID-SP-FW-2</t>
    <phoneticPr fontId="1" type="noConversion"/>
  </si>
  <si>
    <t>SYS-RID-SP-FW-1</t>
    <phoneticPr fontId="1" type="noConversion"/>
  </si>
  <si>
    <t>SYS-RID-SP-FW-4</t>
    <phoneticPr fontId="1" type="noConversion"/>
  </si>
  <si>
    <t>SYS-RID-SP-FW-5</t>
    <phoneticPr fontId="1" type="noConversion"/>
  </si>
  <si>
    <t>SYS-RID-SP-FW-3</t>
    <phoneticPr fontId="1" type="noConversion"/>
  </si>
  <si>
    <t>SYS-RID-SP-FW-6</t>
    <phoneticPr fontId="1" type="noConversion"/>
  </si>
  <si>
    <t>SYS-RID-SP-FW-7</t>
    <phoneticPr fontId="1" type="noConversion"/>
  </si>
  <si>
    <t>SYS-RID-SP-FW-8</t>
    <phoneticPr fontId="1" type="noConversion"/>
  </si>
  <si>
    <t>SYS-RID-SP-FW-9</t>
    <phoneticPr fontId="1" type="noConversion"/>
  </si>
  <si>
    <t>SYS-RID-SP-FW-10</t>
    <phoneticPr fontId="1" type="noConversion"/>
  </si>
  <si>
    <t>SYS-RID-SP-FW-11</t>
    <phoneticPr fontId="1" type="noConversion"/>
  </si>
  <si>
    <t>SYS-RID-SP-FW-12</t>
    <phoneticPr fontId="1" type="noConversion"/>
  </si>
  <si>
    <t>터치 센서의 입력에 따라 전원 모드와 사용자 제어를 처리한다.</t>
    <phoneticPr fontId="1" type="noConversion"/>
  </si>
  <si>
    <t>SYS-RID-SP-FW-13</t>
    <phoneticPr fontId="1" type="noConversion"/>
  </si>
  <si>
    <t>SYS-RID-SP-FW-14</t>
    <phoneticPr fontId="1" type="noConversion"/>
  </si>
  <si>
    <t>Bluetooth</t>
    <phoneticPr fontId="1" type="noConversion"/>
  </si>
  <si>
    <t>SYS-RID-SP-FW-15</t>
    <phoneticPr fontId="1" type="noConversion"/>
  </si>
  <si>
    <t>SYS-RID-SP-FW-16</t>
    <phoneticPr fontId="1" type="noConversion"/>
  </si>
  <si>
    <t>SYS-RID-SP-FW-17</t>
    <phoneticPr fontId="1" type="noConversion"/>
  </si>
  <si>
    <t>SYS-RID-SP-FW-22</t>
    <phoneticPr fontId="1" type="noConversion"/>
  </si>
  <si>
    <t>SYS-RID-SP-FW-18</t>
    <phoneticPr fontId="1" type="noConversion"/>
  </si>
  <si>
    <t>SYS-RID-SP-FW-26</t>
    <phoneticPr fontId="1" type="noConversion"/>
  </si>
  <si>
    <t>SYS-RID-SP-FW-23</t>
    <phoneticPr fontId="1" type="noConversion"/>
  </si>
  <si>
    <t>SYS-RID-SP-FW-27</t>
    <phoneticPr fontId="1" type="noConversion"/>
  </si>
  <si>
    <t>SYS-RID-SP-FW-19</t>
    <phoneticPr fontId="1" type="noConversion"/>
  </si>
  <si>
    <t>SYS-RID-SP-FW-32</t>
    <phoneticPr fontId="1" type="noConversion"/>
  </si>
  <si>
    <t>SYS-RID-SP-FW-20</t>
    <phoneticPr fontId="1" type="noConversion"/>
  </si>
  <si>
    <t>SYS-RID-SP-FW-21</t>
    <phoneticPr fontId="1" type="noConversion"/>
  </si>
  <si>
    <t>SYS-RID-SP-FW-24</t>
    <phoneticPr fontId="1" type="noConversion"/>
  </si>
  <si>
    <t>감사기록은 타임 스탬프를 포함한다.</t>
    <phoneticPr fontId="1" type="noConversion"/>
  </si>
  <si>
    <t>SYS-RID-SP-FW-25</t>
    <phoneticPr fontId="1" type="noConversion"/>
  </si>
  <si>
    <t>오류 메시지에 보안과 관련되 정보를 직접 표시하지 않는다.</t>
    <phoneticPr fontId="1" type="noConversion"/>
  </si>
  <si>
    <t>SYS-RID-SP-FW-29</t>
    <phoneticPr fontId="1" type="noConversion"/>
  </si>
  <si>
    <t>SYS-RID-SP-FW-33</t>
    <phoneticPr fontId="1" type="noConversion"/>
  </si>
  <si>
    <t>내부장치 제조번호, 사용자 이니셜 값은 암호화 하여 저장한다.</t>
    <phoneticPr fontId="1" type="noConversion"/>
  </si>
  <si>
    <t>SYS-RID-SP-FW-34</t>
    <phoneticPr fontId="1" type="noConversion"/>
  </si>
  <si>
    <t>SYS-RID-SP-FW-35</t>
    <phoneticPr fontId="1" type="noConversion"/>
  </si>
  <si>
    <t>SYS-RID-SP-FW-36</t>
    <phoneticPr fontId="1" type="noConversion"/>
  </si>
  <si>
    <t>설정파일의 무결성이 확인되지 않으면, 설정파일을 공장초기화 한다.</t>
    <phoneticPr fontId="1" type="noConversion"/>
  </si>
  <si>
    <t>SYS-RID-SP-FW-38</t>
    <phoneticPr fontId="1" type="noConversion"/>
  </si>
  <si>
    <t>주의부족, 기억력 감퇴</t>
    <phoneticPr fontId="1" type="noConversion"/>
  </si>
  <si>
    <t>배터리 저전압을 주기적으로 반복하여 자극 출력과 LED로 알린다.</t>
    <phoneticPr fontId="1" type="noConversion"/>
  </si>
  <si>
    <t>SYS-RID-SP-FW-48</t>
    <phoneticPr fontId="1" type="noConversion"/>
  </si>
  <si>
    <t>자극 볼륨은 단계적으로 증가하도록 설계한다.(soft increase)</t>
    <phoneticPr fontId="1" type="noConversion"/>
  </si>
  <si>
    <t>SYS-RID-SP-FW-47</t>
    <phoneticPr fontId="1" type="noConversion"/>
  </si>
  <si>
    <t>NA</t>
    <phoneticPr fontId="1" type="noConversion"/>
  </si>
  <si>
    <t>필수 성능 시험을 진행한다.</t>
    <phoneticPr fontId="1" type="noConversion"/>
  </si>
  <si>
    <t>SYS-RID-SP-FW-39, SYS-RID-SP-FW-40</t>
    <phoneticPr fontId="1" type="noConversion"/>
  </si>
  <si>
    <t>SYS-RID-SP-FW-41</t>
    <phoneticPr fontId="1" type="noConversion"/>
  </si>
  <si>
    <t>SYS-RID-SP-FW-28</t>
    <phoneticPr fontId="1" type="noConversion"/>
  </si>
  <si>
    <t>SYS-RID-SP-FW-42</t>
    <phoneticPr fontId="1" type="noConversion"/>
  </si>
  <si>
    <t>정상사용을 위한 준비상태를 표시하도록 설계한다.</t>
    <phoneticPr fontId="1" type="noConversion"/>
  </si>
  <si>
    <t>SYS-RID-SP-FW-43</t>
    <phoneticPr fontId="1" type="noConversion"/>
  </si>
  <si>
    <t>전원커넥터가 연결되면 연결을 확인할 수 있어야한다.(충전모드 표시).</t>
    <phoneticPr fontId="1" type="noConversion"/>
  </si>
  <si>
    <t>SYS-RID-SP-FW-44</t>
    <phoneticPr fontId="1" type="noConversion"/>
  </si>
  <si>
    <t>배터리 잔량을 표시할 수 있어야 한다.</t>
    <phoneticPr fontId="1" type="noConversion"/>
  </si>
  <si>
    <t>구분이 쉽도록 LED 패턴을 생성한다.</t>
    <phoneticPr fontId="1" type="noConversion"/>
  </si>
  <si>
    <t>SYS-RID-SP-FW-45</t>
    <phoneticPr fontId="1" type="noConversion"/>
  </si>
  <si>
    <t>사회 통념적으로 사용되는 색상을 사용하여 인공와우 외부기 상태를 표시한다.</t>
    <phoneticPr fontId="1" type="noConversion"/>
  </si>
  <si>
    <t>SYS-RID-SP-FW-46</t>
    <phoneticPr fontId="1" type="noConversion"/>
  </si>
  <si>
    <t>BLE 통신 연결 장애 발생 시, 정상 동작이 되어야 한다.</t>
    <phoneticPr fontId="1" type="noConversion"/>
  </si>
  <si>
    <t>SYS-RID-SP-FW-37</t>
    <phoneticPr fontId="1" type="noConversion"/>
  </si>
  <si>
    <t>시동과정에서는 출력을 생성하지 않게 한다</t>
    <phoneticPr fontId="1" type="noConversion"/>
  </si>
  <si>
    <t>SYS-RID-SP-FW-49</t>
    <phoneticPr fontId="1" type="noConversion"/>
  </si>
  <si>
    <t>종료과정에서는 출력을 생성하지 않게 한다.</t>
    <phoneticPr fontId="1" type="noConversion"/>
  </si>
  <si>
    <t>SYS-RID-SP-FW-50</t>
    <phoneticPr fontId="1" type="noConversion"/>
  </si>
  <si>
    <t>전채널 동시에 자극률은 20kHz이상이어야 한다.(32채널 사용)</t>
    <phoneticPr fontId="1" type="noConversion"/>
  </si>
  <si>
    <t>채널별 최대 자극률은 1000Hz 이상이어야 한다.(24채널 사용)</t>
    <phoneticPr fontId="1" type="noConversion"/>
  </si>
  <si>
    <t>자극 펄스 폭은 13~255usec 범위에서 1usec 단위로 조정이 가능해야한다.</t>
    <phoneticPr fontId="1" type="noConversion"/>
  </si>
  <si>
    <t>필수 : CIS, 옵션 : N-of-M</t>
    <phoneticPr fontId="1" type="noConversion"/>
  </si>
  <si>
    <t>8kHz 오디오 신호를 입력 받을 수 있어야 한다.</t>
    <phoneticPr fontId="1" type="noConversion"/>
  </si>
  <si>
    <t>등록된 내부이식장치와만 근접 무선 통신을 연결한다.</t>
    <phoneticPr fontId="1" type="noConversion"/>
  </si>
  <si>
    <t>I2C 프로토콜을 사용하여 터치 센서와 데이터를 송수신할 수 있어야 한다.</t>
    <phoneticPr fontId="1" type="noConversion"/>
  </si>
  <si>
    <t>SYS-RID-SP-FW-30</t>
    <phoneticPr fontId="1" type="noConversion"/>
  </si>
  <si>
    <t>품질관리시스템 절차에 따라, 인가된 인원이 펌웨어를 생성하여 배포한다.</t>
    <phoneticPr fontId="1" type="noConversion"/>
  </si>
  <si>
    <t>SYS-RID-SP-FW-31</t>
    <phoneticPr fontId="1" type="noConversion"/>
  </si>
  <si>
    <t>사운드 처리 주기는 1.00ms이며 허용 오차는 +/-5%(0.95~1.05ms)이다.</t>
  </si>
  <si>
    <t>실시간 신호처리 주기는 1.00ms, 허용 오차 +/-5%(0.95~1.05ms)이며 각 블록 처리는 다음 처리 시작 전에 완료되어야 한다.</t>
  </si>
  <si>
    <r>
      <t xml:space="preserve">2개 이상의 오디오 소스를 입력 받을 수 있어야 한다.
</t>
    </r>
    <r>
      <rPr>
        <u/>
        <sz val="12"/>
        <color rgb="FFC00000"/>
        <rFont val="맑은 고딕"/>
        <family val="3"/>
        <charset val="129"/>
      </rPr>
      <t>[QCC 자료 입력] I2S 오디오 공급을 담당하는 QCC 내부 모듈/유닛의 설계 연결을 추가한다.</t>
    </r>
  </si>
  <si>
    <r>
      <t xml:space="preserve">리모콘 앱이 실행되는 스마트폰과 블루투스를 사용하여 데이터 통신이 가능해야한다.
</t>
    </r>
    <r>
      <rPr>
        <u/>
        <sz val="12"/>
        <color rgb="FFC00000"/>
        <rFont val="맑은 고딕"/>
        <family val="3"/>
        <charset val="129"/>
      </rPr>
      <t>[QCC 자료 입력] 리모콘의 무선 명령/응답을 중계하는 QCC 내부 모듈/유닛의 설계 연결을 추가한다.</t>
    </r>
  </si>
  <si>
    <r>
      <t xml:space="preserve">매핑 프로그램이 실행되는 기기와 블루투스를 사용하여 데이터 통신이 가능해야 한다.
</t>
    </r>
    <r>
      <rPr>
        <u/>
        <sz val="12"/>
        <color rgb="FFC00000"/>
        <rFont val="맑은 고딕"/>
        <family val="3"/>
        <charset val="129"/>
      </rPr>
      <t>[QCC 자료 입력] 매핑의 무선 명령/응답을 중계하는 QCC 내부 모듈/유닛의 설계 연결을 추가한다.</t>
    </r>
  </si>
  <si>
    <r>
      <t xml:space="preserve">Bluetooth Classic 오디오 통신
</t>
    </r>
    <r>
      <rPr>
        <u/>
        <sz val="12"/>
        <color rgb="FFC00000"/>
        <rFont val="맑은 고딕"/>
        <family val="3"/>
        <charset val="129"/>
      </rPr>
      <t>[QCC 자료 입력] Bluetooth Classic 오디오 공급을 담당하는 QCC 내부 모듈/유닛의 설계 연결을 추가한다.</t>
    </r>
  </si>
  <si>
    <r>
      <t xml:space="preserve">BLE data 통신
</t>
    </r>
    <r>
      <rPr>
        <u/>
        <sz val="12"/>
        <color rgb="FFC00000"/>
        <rFont val="맑은 고딕"/>
        <family val="3"/>
        <charset val="129"/>
      </rPr>
      <t>[QCC 자료 입력] BLE 명령/응답을 중계하는 QCC 내부 모듈/유닛의 설계 연결을 추가한다.</t>
    </r>
  </si>
  <si>
    <r>
      <t xml:space="preserve">일정시간 동안 제어 명령이 수신되지 않으면, BLE 연결을 해제한다.
</t>
    </r>
    <r>
      <rPr>
        <u/>
        <sz val="12"/>
        <color rgb="FFC00000"/>
        <rFont val="맑은 고딕"/>
        <family val="3"/>
        <charset val="129"/>
      </rPr>
      <t>[QCC 자료 입력] 무조작 판단, 연결 종료 시간과 해제 동작의 QCC 설계/검증 자료를 입력한다.</t>
    </r>
  </si>
  <si>
    <r>
      <t xml:space="preserve">1. BLE Pairing 기능을  사용하여 인가된 장치와 연결
2. BLE 연결 후 별도의 자체 인증 방식, CRA(Challenge-Response Authentication),을 사용하여 적법한 장치를 확인
</t>
    </r>
    <r>
      <rPr>
        <u/>
        <sz val="12"/>
        <color rgb="FFC00000"/>
        <rFont val="맑은 고딕"/>
        <family val="3"/>
        <charset val="129"/>
      </rPr>
      <t>[QCC 자료 입력] 페어링과 CRA 인증의 QCC 설계 및 조건별 검증 자료를 입력한다.</t>
    </r>
  </si>
  <si>
    <r>
      <t xml:space="preserve">BLE 페어링이 완료된 상태에서 데이터를 송/수신한다. - 무결성
AES-CCM (Counter with CBC-MAC)을 사용함으로써 기밀성, 무결성, 인증  세 가지의 기능이 제공됨
(Bluetooth Core specification LE Link Layer 참조)
</t>
    </r>
    <r>
      <rPr>
        <u/>
        <sz val="12"/>
        <color rgb="FFC00000"/>
        <rFont val="맑은 고딕"/>
        <family val="3"/>
        <charset val="129"/>
      </rPr>
      <t>[QCC 자료 입력] 무선 데이터의 암호화/무결성 보호 방식과 페어링 전 차단의 QCC 자료를 입력한다.</t>
    </r>
  </si>
  <si>
    <t>감사기록을 생성한다.</t>
  </si>
  <si>
    <t>설정파일을 읽을 때, 파일의 무결성을 확인한다.</t>
  </si>
  <si>
    <r>
      <t xml:space="preserve">1. CRA 인증에서 기기제어를 위한 통신과 매핑을 의한 통신을 구분하여 별도의  인증 키와 인증방식을 사용
2. CRA 인증에 사용되는 각 키의 크기는 16 bytes (128 bits)이므로 충분히 안전한 보안을 제공한다.
</t>
    </r>
    <r>
      <rPr>
        <u/>
        <sz val="12"/>
        <color rgb="FFC00000"/>
        <rFont val="맑은 고딕"/>
        <family val="3"/>
        <charset val="129"/>
      </rPr>
      <t>[QCC 자료 입력] 리모콘/매핑의 인증키 구분, 키 관리와 인증 전후 허용 동작의 QCC 자료를 입력한다.</t>
    </r>
  </si>
  <si>
    <r>
      <t xml:space="preserve">소프트웨어 업데이트가 필요할 경우 기존 제품을 회수하고 업데이트된 제품을 생산하여 교체한다.
</t>
    </r>
    <r>
      <rPr>
        <u/>
        <sz val="12"/>
        <color rgb="FF7030A0"/>
        <rFont val="맑은 고딕"/>
        <family val="3"/>
        <charset val="129"/>
      </rPr>
      <t>[QCC/E8300 자료 입력] QCC의 인증/암호화 전송과 E8300의 OTA 수신/저장/재기동 보호 자료를 연결한다. 제품 회수/교체 절차와 OTA의 적용 범위도 확인한다.</t>
    </r>
  </si>
  <si>
    <t>1. 칩셋에서 부팅 과정에서 실행파일의 CRC 체크 기능 활성화
2. 칩셋에서 제공하는 무결성 방식을 사용하여 검사</t>
  </si>
  <si>
    <r>
      <t xml:space="preserve">- CRA 인증 결과에서 인증정보를 유추할 만한 피드백이 없음: 성공, 실패, 진행중, 타임아웃
</t>
    </r>
    <r>
      <rPr>
        <u/>
        <sz val="12"/>
        <color rgb="FFC00000"/>
        <rFont val="맑은 고딕"/>
        <family val="3"/>
        <charset val="129"/>
      </rPr>
      <t>[QCC 자료 입력] 인증 상태별 응답과 인증정보 미노출을 확인한 QCC 자료를 입력한다.</t>
    </r>
  </si>
  <si>
    <r>
      <t xml:space="preserve">CRA 인증 5회 연속 실패 시, 일정 시간동안 연결을 제한한다.
</t>
    </r>
    <r>
      <rPr>
        <u/>
        <sz val="12"/>
        <color rgb="FFC00000"/>
        <rFont val="맑은 고딕"/>
        <family val="3"/>
        <charset val="129"/>
      </rPr>
      <t>[QCC 자료 입력] 인증 실패 횟수, 연결 제한 시간과 해제 조건의 QCC 설계/검증 자료를 입력한다.</t>
    </r>
  </si>
  <si>
    <t>감사기록 생성 실패를 오류 정보에 포함한다.</t>
  </si>
  <si>
    <r>
      <t xml:space="preserve">1. 데이터의 송수신은 BLE 페어링과 CRA 인증 이후에 활성화 함. - 기밀화
2. CRA 인증 키들은 생산시에 암호화하여 저장한다.
</t>
    </r>
    <r>
      <rPr>
        <u/>
        <sz val="12"/>
        <color rgb="FFC00000"/>
        <rFont val="맑은 고딕"/>
        <family val="3"/>
        <charset val="129"/>
      </rPr>
      <t>[QCC 자료 입력] 인증 전후 송수신/OTA 전송의 보호와 생산 시 인증키 암호화 저장의 QCC 자료를 입력한다.</t>
    </r>
  </si>
  <si>
    <r>
      <t xml:space="preserve">무결성, 암호화에 사용되는 알고리즘은 사이버보안 규격에서 권고하는 알고리즘을 사용한다.
</t>
    </r>
    <r>
      <rPr>
        <u/>
        <sz val="12"/>
        <color rgb="FF7030A0"/>
        <rFont val="맑은 고딕"/>
        <family val="3"/>
        <charset val="129"/>
      </rPr>
      <t>[QCC/E8300 자료 입력] QCC 통신/인증키 보호 방식과 E8300 AES 저장/부트 보호 방식의 사용 목적 및 키 관리 자료를 함께 입력한다.</t>
    </r>
  </si>
  <si>
    <t>외부에서 로그 정보의 접근은 인가자만 가능해야 하며, 외부 전송을 할경우 기밀성이 보호되어야 한다.</t>
  </si>
  <si>
    <t>제어 명령이 프로토콜에 맞게 전송되어야 실행한다.</t>
  </si>
  <si>
    <r>
      <t xml:space="preserve">CRC 기능이 있는 통신 프로토콜을 사용한다.
</t>
    </r>
    <r>
      <rPr>
        <u/>
        <sz val="12"/>
        <color rgb="FFC00000"/>
        <rFont val="맑은 고딕"/>
        <family val="3"/>
        <charset val="129"/>
      </rPr>
      <t>[QCC 자료 입력] CRC가 적용된 무선 통신의 QCC 내부 모듈/유닛 설계 연결을 추가한다.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</si>
</sst>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theme="1"/>
      <name val="맑은 고딕"/>
      <family val="2"/>
      <scheme val="minor"/>
    </font>
    <font>
      <b/>
      <sz val="18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name val="Carlito"/>
    </font>
    <font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u/>
      <sz val="12"/>
      <color rgb="FFC00000"/>
      <name val="맑은 고딕"/>
      <family val="3"/>
      <charset val="129"/>
    </font>
    <font>
      <u/>
      <sz val="12"/>
      <color rgb="FF7030A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4472C4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3">
    <xf numFmtId="0" fontId="0" fillId="0" borderId="0"/>
    <xf numFmtId="0" fontId="17" fillId="0" borderId="0"/>
    <xf numFmtId="0" fontId="17" fillId="0" borderId="0"/>
  </cellStyleXfs>
  <cellXfs count="19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0" xfId="0" applyFont="1" applyAlignment="1">
      <alignment vertical="center"/>
    </xf>
    <xf numFmtId="49" fontId="4" fillId="0" borderId="1" xfId="0" quotePrefix="1" applyNumberFormat="1" applyFont="1" applyBorder="1" applyAlignment="1">
      <alignment horizontal="center" vertical="center" wrapText="1"/>
    </xf>
    <xf numFmtId="49" fontId="4" fillId="0" borderId="1" xfId="0" quotePrefix="1" applyNumberFormat="1" applyFont="1" applyBorder="1" applyAlignment="1">
      <alignment vertical="center" wrapText="1"/>
    </xf>
    <xf numFmtId="0" fontId="8" fillId="0" borderId="1" xfId="0" quotePrefix="1" applyFont="1" applyBorder="1" applyAlignment="1">
      <alignment horizontal="left" vertical="center" wrapText="1"/>
    </xf>
    <xf numFmtId="0" fontId="4" fillId="0" borderId="1" xfId="0" quotePrefix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 wrapText="1"/>
    </xf>
    <xf numFmtId="49" fontId="4" fillId="0" borderId="1" xfId="0" quotePrefix="1" applyNumberFormat="1" applyFont="1" applyBorder="1" applyAlignment="1">
      <alignment horizontal="left" vertical="center" wrapText="1"/>
    </xf>
    <xf numFmtId="49" fontId="7" fillId="6" borderId="1" xfId="0" quotePrefix="1" applyNumberFormat="1" applyFont="1" applyFill="1" applyBorder="1" applyAlignment="1">
      <alignment horizontal="left" vertical="center" wrapText="1"/>
    </xf>
    <xf numFmtId="0" fontId="4" fillId="0" borderId="1" xfId="0" quotePrefix="1" applyFont="1" applyBorder="1" applyAlignment="1">
      <alignment horizontal="left" vertical="center" wrapText="1"/>
    </xf>
    <xf numFmtId="0" fontId="4" fillId="0" borderId="0" xfId="0" quotePrefix="1" applyFont="1" applyAlignment="1">
      <alignment horizontal="center" vertical="center" wrapText="1"/>
    </xf>
    <xf numFmtId="0" fontId="7" fillId="6" borderId="1" xfId="0" quotePrefix="1" applyFont="1" applyFill="1" applyBorder="1" applyAlignment="1">
      <alignment horizontal="left" vertical="center" wrapText="1"/>
    </xf>
    <xf numFmtId="0" fontId="9" fillId="6" borderId="1" xfId="0" quotePrefix="1" applyFont="1" applyFill="1" applyBorder="1" applyAlignment="1">
      <alignment horizontal="left" vertical="center" wrapText="1"/>
    </xf>
    <xf numFmtId="0" fontId="13" fillId="0" borderId="22" xfId="0" quotePrefix="1" applyFont="1" applyBorder="1" applyAlignment="1">
      <alignment horizontal="left" vertical="center" wrapText="1"/>
    </xf>
    <xf numFmtId="0" fontId="18" fillId="0" borderId="1" xfId="0" quotePrefix="1" applyFont="1" applyBorder="1" applyAlignment="1">
      <alignment horizontal="left" vertical="center" wrapText="1"/>
    </xf>
    <xf numFmtId="0" fontId="19" fillId="0" borderId="1" xfId="0" quotePrefix="1" applyFont="1" applyBorder="1" applyAlignment="1">
      <alignment horizontal="left" vertical="center" wrapText="1"/>
    </xf>
    <xf numFmtId="0" fontId="20" fillId="0" borderId="1" xfId="0" quotePrefix="1" applyFont="1" applyBorder="1" applyAlignment="1">
      <alignment horizontal="left" vertical="center" wrapText="1"/>
    </xf>
    <xf numFmtId="0" fontId="21" fillId="0" borderId="1" xfId="0" quotePrefix="1" applyFont="1" applyBorder="1" applyAlignment="1">
      <alignment horizontal="left" vertical="center" wrapText="1"/>
    </xf>
    <xf numFmtId="0" fontId="22" fillId="0" borderId="1" xfId="0" quotePrefix="1" applyFont="1" applyBorder="1" applyAlignment="1">
      <alignment horizontal="left" vertical="center" wrapText="1"/>
    </xf>
    <xf numFmtId="0" fontId="23" fillId="0" borderId="1" xfId="0" quotePrefix="1" applyFont="1" applyBorder="1" applyAlignment="1">
      <alignment horizontal="left" vertical="center" wrapText="1"/>
    </xf>
    <xf numFmtId="0" fontId="24" fillId="0" borderId="1" xfId="0" quotePrefix="1" applyFont="1" applyBorder="1" applyAlignment="1">
      <alignment horizontal="left" vertical="center" wrapText="1"/>
    </xf>
    <xf numFmtId="0" fontId="25" fillId="0" borderId="1" xfId="0" quotePrefix="1" applyFont="1" applyBorder="1" applyAlignment="1">
      <alignment horizontal="left" vertical="center" wrapText="1"/>
    </xf>
    <xf numFmtId="0" fontId="26" fillId="0" borderId="1" xfId="0" quotePrefix="1" applyFont="1" applyBorder="1" applyAlignment="1">
      <alignment horizontal="left" vertical="center" wrapText="1"/>
    </xf>
    <xf numFmtId="0" fontId="27" fillId="0" borderId="1" xfId="0" quotePrefix="1" applyFont="1" applyBorder="1" applyAlignment="1">
      <alignment horizontal="left" vertical="center" wrapText="1"/>
    </xf>
    <xf numFmtId="0" fontId="28" fillId="0" borderId="1" xfId="0" quotePrefix="1" applyFont="1" applyBorder="1" applyAlignment="1">
      <alignment horizontal="left" vertical="center" wrapText="1"/>
    </xf>
    <xf numFmtId="0" fontId="29" fillId="0" borderId="1" xfId="0" quotePrefix="1" applyFont="1" applyBorder="1" applyAlignment="1">
      <alignment horizontal="left" vertical="center" wrapText="1"/>
    </xf>
    <xf numFmtId="49" fontId="4" fillId="0" borderId="17" xfId="0" quotePrefix="1" applyNumberFormat="1" applyFont="1" applyBorder="1" applyAlignment="1">
      <alignment horizontal="center" vertical="center" wrapText="1"/>
    </xf>
    <xf numFmtId="49" fontId="4" fillId="0" borderId="19" xfId="0" quotePrefix="1" applyNumberFormat="1" applyFont="1" applyBorder="1" applyAlignment="1">
      <alignment horizontal="center" vertical="center" wrapText="1"/>
    </xf>
    <xf numFmtId="49" fontId="4" fillId="0" borderId="22" xfId="0" quotePrefix="1" applyNumberFormat="1" applyFont="1" applyBorder="1" applyAlignment="1">
      <alignment horizontal="center" vertical="center" wrapText="1"/>
    </xf>
    <xf numFmtId="49" fontId="4" fillId="0" borderId="23" xfId="0" quotePrefix="1" applyNumberFormat="1" applyFont="1" applyBorder="1" applyAlignment="1">
      <alignment horizontal="center" vertical="center" wrapText="1"/>
    </xf>
    <xf numFmtId="49" fontId="4" fillId="0" borderId="16" xfId="0" quotePrefix="1" applyNumberFormat="1" applyFont="1" applyBorder="1" applyAlignment="1">
      <alignment horizontal="center" vertical="center" wrapText="1"/>
    </xf>
    <xf numFmtId="49" fontId="4" fillId="0" borderId="10" xfId="0" quotePrefix="1" applyNumberFormat="1" applyFont="1" applyBorder="1" applyAlignment="1">
      <alignment horizontal="center" vertical="center" wrapText="1"/>
    </xf>
    <xf numFmtId="49" fontId="4" fillId="0" borderId="12" xfId="0" quotePrefix="1" applyNumberFormat="1" applyFont="1" applyBorder="1" applyAlignment="1">
      <alignment horizontal="center" vertical="center" wrapText="1"/>
    </xf>
    <xf numFmtId="49" fontId="4" fillId="0" borderId="20" xfId="0" quotePrefix="1" applyNumberFormat="1" applyFont="1" applyBorder="1" applyAlignment="1">
      <alignment horizontal="center" vertical="center" wrapText="1"/>
    </xf>
    <xf numFmtId="49" fontId="4" fillId="0" borderId="21" xfId="0" quotePrefix="1" applyNumberFormat="1" applyFont="1" applyBorder="1" applyAlignment="1">
      <alignment horizontal="center" vertical="center" wrapText="1"/>
    </xf>
    <xf numFmtId="49" fontId="4" fillId="0" borderId="13" xfId="0" quotePrefix="1" applyNumberFormat="1" applyFont="1" applyBorder="1" applyAlignment="1">
      <alignment horizontal="center" vertical="center" wrapText="1"/>
    </xf>
    <xf numFmtId="49" fontId="4" fillId="0" borderId="15" xfId="0" quotePrefix="1" applyNumberFormat="1" applyFont="1" applyBorder="1" applyAlignment="1">
      <alignment horizontal="center" vertical="center" wrapText="1"/>
    </xf>
    <xf numFmtId="49" fontId="4" fillId="0" borderId="17" xfId="0" quotePrefix="1" applyNumberFormat="1" applyFont="1" applyBorder="1" applyAlignment="1">
      <alignment horizontal="left" vertical="center" wrapText="1"/>
    </xf>
    <xf numFmtId="49" fontId="4" fillId="0" borderId="19" xfId="0" quotePrefix="1" applyNumberFormat="1" applyFont="1" applyBorder="1" applyAlignment="1">
      <alignment horizontal="left" vertical="center" wrapText="1"/>
    </xf>
    <xf numFmtId="49" fontId="7" fillId="6" borderId="22" xfId="0" quotePrefix="1" applyNumberFormat="1" applyFont="1" applyFill="1" applyBorder="1" applyAlignment="1">
      <alignment horizontal="center" vertical="center" wrapText="1"/>
    </xf>
    <xf numFmtId="49" fontId="7" fillId="6" borderId="23" xfId="0" quotePrefix="1" applyNumberFormat="1" applyFont="1" applyFill="1" applyBorder="1" applyAlignment="1">
      <alignment horizontal="center" vertical="center" wrapText="1"/>
    </xf>
    <xf numFmtId="49" fontId="7" fillId="6" borderId="16" xfId="0" quotePrefix="1" applyNumberFormat="1" applyFont="1" applyFill="1" applyBorder="1" applyAlignment="1">
      <alignment horizontal="center" vertical="center" wrapText="1"/>
    </xf>
    <xf numFmtId="49" fontId="7" fillId="6" borderId="22" xfId="0" quotePrefix="1" applyNumberFormat="1" applyFont="1" applyFill="1" applyBorder="1" applyAlignment="1">
      <alignment horizontal="left" vertical="center" wrapText="1"/>
    </xf>
    <xf numFmtId="49" fontId="7" fillId="6" borderId="23" xfId="0" quotePrefix="1" applyNumberFormat="1" applyFont="1" applyFill="1" applyBorder="1" applyAlignment="1">
      <alignment horizontal="left" vertical="center" wrapText="1"/>
    </xf>
    <xf numFmtId="49" fontId="7" fillId="6" borderId="16" xfId="0" quotePrefix="1" applyNumberFormat="1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49" fontId="4" fillId="0" borderId="18" xfId="0" quotePrefix="1" applyNumberFormat="1" applyFont="1" applyBorder="1" applyAlignment="1">
      <alignment horizontal="center" vertical="center" wrapText="1"/>
    </xf>
    <xf numFmtId="0" fontId="4" fillId="0" borderId="22" xfId="0" quotePrefix="1" applyFont="1" applyBorder="1" applyAlignment="1">
      <alignment horizontal="center" vertical="center" wrapText="1"/>
    </xf>
    <xf numFmtId="0" fontId="4" fillId="0" borderId="16" xfId="0" quotePrefix="1" applyFont="1" applyBorder="1" applyAlignment="1">
      <alignment horizontal="center" vertical="center" wrapText="1"/>
    </xf>
    <xf numFmtId="0" fontId="7" fillId="6" borderId="22" xfId="0" quotePrefix="1" applyFont="1" applyFill="1" applyBorder="1" applyAlignment="1">
      <alignment horizontal="left" vertical="center" wrapText="1"/>
    </xf>
    <xf numFmtId="0" fontId="7" fillId="6" borderId="23" xfId="0" quotePrefix="1" applyFont="1" applyFill="1" applyBorder="1" applyAlignment="1">
      <alignment horizontal="left" vertical="center" wrapText="1"/>
    </xf>
    <xf numFmtId="0" fontId="7" fillId="6" borderId="16" xfId="0" quotePrefix="1" applyFont="1" applyFill="1" applyBorder="1" applyAlignment="1">
      <alignment horizontal="left" vertical="center" wrapText="1"/>
    </xf>
    <xf numFmtId="0" fontId="4" fillId="0" borderId="17" xfId="0" quotePrefix="1" applyFont="1" applyBorder="1" applyAlignment="1">
      <alignment horizontal="center" vertical="center" wrapText="1"/>
    </xf>
    <xf numFmtId="0" fontId="4" fillId="0" borderId="18" xfId="0" quotePrefix="1" applyFont="1" applyBorder="1" applyAlignment="1">
      <alignment horizontal="center" vertical="center" wrapText="1"/>
    </xf>
    <xf numFmtId="0" fontId="4" fillId="0" borderId="19" xfId="0" quotePrefix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0" xfId="0" quotePrefix="1" applyFont="1" applyBorder="1" applyAlignment="1">
      <alignment horizontal="center" vertical="center" wrapText="1"/>
    </xf>
    <xf numFmtId="0" fontId="4" fillId="0" borderId="11" xfId="0" quotePrefix="1" applyFont="1" applyBorder="1" applyAlignment="1">
      <alignment horizontal="center" vertical="center" wrapText="1"/>
    </xf>
    <xf numFmtId="0" fontId="4" fillId="0" borderId="12" xfId="0" quotePrefix="1" applyFont="1" applyBorder="1" applyAlignment="1">
      <alignment horizontal="center" vertical="center" wrapText="1"/>
    </xf>
    <xf numFmtId="0" fontId="4" fillId="0" borderId="20" xfId="0" quotePrefix="1" applyFont="1" applyBorder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4" fillId="0" borderId="21" xfId="0" quotePrefix="1" applyFont="1" applyBorder="1" applyAlignment="1">
      <alignment horizontal="center" vertical="center" wrapText="1"/>
    </xf>
    <xf numFmtId="0" fontId="4" fillId="0" borderId="13" xfId="0" quotePrefix="1" applyFont="1" applyBorder="1" applyAlignment="1">
      <alignment horizontal="center" vertical="center" wrapText="1"/>
    </xf>
    <xf numFmtId="0" fontId="4" fillId="0" borderId="14" xfId="0" quotePrefix="1" applyFont="1" applyBorder="1" applyAlignment="1">
      <alignment horizontal="center" vertical="center" wrapText="1"/>
    </xf>
    <xf numFmtId="0" fontId="4" fillId="0" borderId="15" xfId="0" quotePrefix="1" applyFont="1" applyBorder="1" applyAlignment="1">
      <alignment horizontal="center" vertical="center" wrapText="1"/>
    </xf>
    <xf numFmtId="0" fontId="4" fillId="0" borderId="17" xfId="0" quotePrefix="1" applyFont="1" applyBorder="1" applyAlignment="1">
      <alignment horizontal="center" vertical="center"/>
    </xf>
    <xf numFmtId="0" fontId="4" fillId="0" borderId="18" xfId="0" quotePrefix="1" applyFont="1" applyBorder="1" applyAlignment="1">
      <alignment horizontal="center" vertical="center"/>
    </xf>
    <xf numFmtId="0" fontId="4" fillId="0" borderId="19" xfId="0" quotePrefix="1" applyFont="1" applyBorder="1" applyAlignment="1">
      <alignment horizontal="center" vertical="center"/>
    </xf>
    <xf numFmtId="49" fontId="4" fillId="0" borderId="11" xfId="0" quotePrefix="1" applyNumberFormat="1" applyFont="1" applyBorder="1" applyAlignment="1">
      <alignment horizontal="center" vertical="center" wrapText="1"/>
    </xf>
    <xf numFmtId="49" fontId="4" fillId="0" borderId="0" xfId="0" quotePrefix="1" applyNumberFormat="1" applyFont="1" applyAlignment="1">
      <alignment horizontal="center" vertical="center" wrapText="1"/>
    </xf>
    <xf numFmtId="49" fontId="4" fillId="0" borderId="14" xfId="0" quotePrefix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6" borderId="24" xfId="0" quotePrefix="1" applyFont="1" applyFill="1" applyBorder="1" applyAlignment="1">
      <alignment horizontal="center" vertical="center" wrapText="1"/>
    </xf>
    <xf numFmtId="49" fontId="4" fillId="0" borderId="25" xfId="0" quotePrefix="1" applyNumberFormat="1" applyFont="1" applyBorder="1" applyAlignment="1">
      <alignment horizontal="center" vertical="center" wrapText="1"/>
    </xf>
    <xf numFmtId="0" fontId="4" fillId="0" borderId="26" xfId="0" quotePrefix="1" applyFont="1" applyBorder="1" applyAlignment="1">
      <alignment horizontal="center" vertical="center" wrapText="1"/>
    </xf>
    <xf numFmtId="0" fontId="7" fillId="6" borderId="26" xfId="0" quotePrefix="1" applyFont="1" applyFill="1" applyBorder="1" applyAlignment="1">
      <alignment horizontal="center" vertical="center" wrapText="1"/>
    </xf>
    <xf numFmtId="49" fontId="4" fillId="0" borderId="27" xfId="0" quotePrefix="1" applyNumberFormat="1" applyFont="1" applyBorder="1" applyAlignment="1">
      <alignment horizontal="center" vertical="center" wrapText="1"/>
    </xf>
    <xf numFmtId="49" fontId="7" fillId="6" borderId="25" xfId="0" quotePrefix="1" applyNumberFormat="1" applyFont="1" applyFill="1" applyBorder="1" applyAlignment="1">
      <alignment horizontal="left" vertical="center" wrapText="1"/>
    </xf>
    <xf numFmtId="0" fontId="7" fillId="6" borderId="25" xfId="0" quotePrefix="1" applyFont="1" applyFill="1" applyBorder="1" applyAlignment="1">
      <alignment horizontal="left" vertical="center" wrapText="1"/>
    </xf>
    <xf numFmtId="49" fontId="7" fillId="6" borderId="27" xfId="0" quotePrefix="1" applyNumberFormat="1" applyFont="1" applyFill="1" applyBorder="1" applyAlignment="1">
      <alignment horizontal="center" vertical="center" wrapText="1"/>
    </xf>
    <xf numFmtId="49" fontId="4" fillId="0" borderId="24" xfId="0" quotePrefix="1" applyNumberFormat="1" applyFont="1" applyBorder="1" applyAlignment="1">
      <alignment horizontal="center" vertical="center" wrapText="1"/>
    </xf>
    <xf numFmtId="0" fontId="8" fillId="0" borderId="26" xfId="0" quotePrefix="1" applyFont="1" applyBorder="1" applyAlignment="1">
      <alignment horizontal="left" vertical="top" wrapText="1"/>
    </xf>
    <xf numFmtId="49" fontId="4" fillId="0" borderId="28" xfId="0" quotePrefix="1" applyNumberFormat="1" applyFont="1" applyBorder="1" applyAlignment="1">
      <alignment horizontal="center" vertical="center" wrapText="1"/>
    </xf>
    <xf numFmtId="49" fontId="4" fillId="0" borderId="29" xfId="0" quotePrefix="1" applyNumberFormat="1" applyFont="1" applyBorder="1" applyAlignment="1">
      <alignment horizontal="center" vertical="center" wrapText="1"/>
    </xf>
    <xf numFmtId="49" fontId="4" fillId="0" borderId="30" xfId="0" quotePrefix="1" applyNumberFormat="1" applyFont="1" applyBorder="1" applyAlignment="1">
      <alignment horizontal="center" vertical="center" wrapText="1"/>
    </xf>
    <xf numFmtId="0" fontId="0" fillId="5" borderId="31" xfId="0" applyFill="1" applyBorder="1" applyAlignment="1">
      <alignment horizontal="center" vertical="center" wrapText="1"/>
    </xf>
    <xf numFmtId="0" fontId="19" fillId="0" borderId="26" xfId="0" quotePrefix="1" applyFont="1" applyBorder="1" applyAlignment="1">
      <alignment horizontal="left" vertical="top" wrapText="1"/>
    </xf>
    <xf numFmtId="49" fontId="4" fillId="0" borderId="32" xfId="0" quotePrefix="1" applyNumberFormat="1" applyFont="1" applyBorder="1" applyAlignment="1">
      <alignment horizontal="center" vertical="center" wrapText="1"/>
    </xf>
    <xf numFmtId="0" fontId="4" fillId="0" borderId="28" xfId="0" quotePrefix="1" applyFont="1" applyBorder="1" applyAlignment="1">
      <alignment horizontal="center" vertical="center" wrapText="1"/>
    </xf>
    <xf numFmtId="0" fontId="4" fillId="0" borderId="33" xfId="0" quotePrefix="1" applyFont="1" applyBorder="1" applyAlignment="1">
      <alignment horizontal="center" vertical="center" wrapText="1"/>
    </xf>
    <xf numFmtId="49" fontId="4" fillId="0" borderId="34" xfId="0" quotePrefix="1" applyNumberFormat="1" applyFont="1" applyBorder="1" applyAlignment="1">
      <alignment horizontal="center" vertical="center" wrapText="1"/>
    </xf>
    <xf numFmtId="49" fontId="4" fillId="0" borderId="35" xfId="0" quotePrefix="1" applyNumberFormat="1" applyFont="1" applyBorder="1" applyAlignment="1">
      <alignment horizontal="center" vertical="center" wrapText="1"/>
    </xf>
    <xf numFmtId="49" fontId="7" fillId="6" borderId="25" xfId="0" quotePrefix="1" applyNumberFormat="1" applyFont="1" applyFill="1" applyBorder="1" applyAlignment="1">
      <alignment horizontal="center" vertical="center" wrapText="1"/>
    </xf>
    <xf numFmtId="0" fontId="4" fillId="0" borderId="26" xfId="0" quotePrefix="1" applyFont="1" applyBorder="1" applyAlignment="1">
      <alignment horizontal="left" vertical="top" wrapText="1"/>
    </xf>
    <xf numFmtId="49" fontId="4" fillId="0" borderId="36" xfId="0" quotePrefix="1" applyNumberFormat="1" applyFont="1" applyBorder="1" applyAlignment="1">
      <alignment horizontal="center" vertical="center" wrapText="1"/>
    </xf>
    <xf numFmtId="0" fontId="4" fillId="0" borderId="37" xfId="0" quotePrefix="1" applyFont="1" applyBorder="1" applyAlignment="1">
      <alignment horizontal="center" vertical="center" wrapText="1"/>
    </xf>
    <xf numFmtId="0" fontId="4" fillId="0" borderId="30" xfId="0" quotePrefix="1" applyFont="1" applyBorder="1" applyAlignment="1">
      <alignment horizontal="center" vertical="center" wrapText="1"/>
    </xf>
    <xf numFmtId="0" fontId="0" fillId="5" borderId="26" xfId="0" applyFill="1" applyBorder="1" applyAlignment="1">
      <alignment horizontal="center" vertical="center" wrapText="1"/>
    </xf>
    <xf numFmtId="0" fontId="23" fillId="0" borderId="26" xfId="0" quotePrefix="1" applyFont="1" applyBorder="1" applyAlignment="1">
      <alignment horizontal="left" vertical="top" wrapText="1"/>
    </xf>
    <xf numFmtId="0" fontId="4" fillId="0" borderId="38" xfId="0" quotePrefix="1" applyFont="1" applyBorder="1" applyAlignment="1">
      <alignment horizontal="center" vertical="center" wrapText="1"/>
    </xf>
    <xf numFmtId="0" fontId="4" fillId="0" borderId="35" xfId="0" quotePrefix="1" applyFont="1" applyBorder="1" applyAlignment="1">
      <alignment horizontal="center" vertical="center" wrapText="1"/>
    </xf>
    <xf numFmtId="0" fontId="4" fillId="0" borderId="38" xfId="0" quotePrefix="1" applyFont="1" applyBorder="1" applyAlignment="1">
      <alignment horizontal="center" vertical="center"/>
    </xf>
    <xf numFmtId="49" fontId="4" fillId="0" borderId="34" xfId="0" quotePrefix="1" applyNumberFormat="1" applyFont="1" applyBorder="1" applyAlignment="1">
      <alignment horizontal="left" vertical="center" wrapText="1"/>
    </xf>
    <xf numFmtId="0" fontId="21" fillId="0" borderId="26" xfId="0" quotePrefix="1" applyFont="1" applyBorder="1" applyAlignment="1">
      <alignment horizontal="left" vertical="top" wrapText="1"/>
    </xf>
    <xf numFmtId="0" fontId="24" fillId="0" borderId="26" xfId="0" quotePrefix="1" applyFont="1" applyBorder="1" applyAlignment="1">
      <alignment horizontal="left" vertical="top" wrapText="1"/>
    </xf>
    <xf numFmtId="49" fontId="4" fillId="0" borderId="38" xfId="0" quotePrefix="1" applyNumberFormat="1" applyFont="1" applyBorder="1" applyAlignment="1">
      <alignment horizontal="center" vertical="center" wrapText="1"/>
    </xf>
    <xf numFmtId="0" fontId="4" fillId="0" borderId="32" xfId="0" quotePrefix="1" applyFont="1" applyBorder="1" applyAlignment="1">
      <alignment horizontal="center" vertical="center" wrapText="1"/>
    </xf>
    <xf numFmtId="0" fontId="4" fillId="0" borderId="27" xfId="0" quotePrefix="1" applyFont="1" applyBorder="1" applyAlignment="1">
      <alignment horizontal="center" vertical="center" wrapText="1"/>
    </xf>
    <xf numFmtId="49" fontId="7" fillId="6" borderId="27" xfId="0" quotePrefix="1" applyNumberFormat="1" applyFont="1" applyFill="1" applyBorder="1" applyAlignment="1">
      <alignment horizontal="left" vertical="center" wrapText="1"/>
    </xf>
    <xf numFmtId="0" fontId="0" fillId="5" borderId="39" xfId="0" applyFill="1" applyBorder="1" applyAlignment="1">
      <alignment horizontal="center" vertical="center" wrapText="1"/>
    </xf>
    <xf numFmtId="0" fontId="0" fillId="5" borderId="40" xfId="0" applyFill="1" applyBorder="1" applyAlignment="1">
      <alignment horizontal="center" vertical="center"/>
    </xf>
    <xf numFmtId="0" fontId="0" fillId="5" borderId="41" xfId="0" applyFill="1" applyBorder="1" applyAlignment="1">
      <alignment horizontal="center" vertical="center"/>
    </xf>
    <xf numFmtId="0" fontId="4" fillId="5" borderId="42" xfId="0" applyFont="1" applyFill="1" applyBorder="1" applyAlignment="1">
      <alignment horizontal="center" vertical="center" wrapText="1"/>
    </xf>
    <xf numFmtId="0" fontId="0" fillId="5" borderId="43" xfId="0" applyFill="1" applyBorder="1" applyAlignment="1">
      <alignment horizontal="center" vertical="center"/>
    </xf>
    <xf numFmtId="49" fontId="4" fillId="0" borderId="26" xfId="0" quotePrefix="1" applyNumberFormat="1" applyFont="1" applyBorder="1" applyAlignment="1">
      <alignment vertical="center" wrapText="1" horizontal="center"/>
    </xf>
    <xf numFmtId="0" fontId="9" fillId="6" borderId="26" xfId="0" quotePrefix="1" applyFont="1" applyFill="1" applyBorder="1" applyAlignment="1">
      <alignment horizontal="center" vertical="center" wrapText="1"/>
    </xf>
    <xf numFmtId="49" fontId="4" fillId="0" borderId="26" xfId="0" quotePrefix="1" applyNumberFormat="1" applyFont="1" applyBorder="1" applyAlignment="1">
      <alignment horizontal="center" vertical="center" wrapText="1"/>
    </xf>
    <xf numFmtId="0" fontId="4" fillId="0" borderId="36" xfId="0" quotePrefix="1" applyFont="1" applyBorder="1" applyAlignment="1">
      <alignment horizontal="center" vertical="center" wrapText="1"/>
    </xf>
    <xf numFmtId="49" fontId="4" fillId="0" borderId="44" xfId="0" quotePrefix="1" applyNumberFormat="1" applyFont="1" applyBorder="1" applyAlignment="1">
      <alignment horizontal="center" vertical="center" wrapText="1"/>
    </xf>
    <xf numFmtId="0" fontId="7" fillId="6" borderId="27" xfId="0" quotePrefix="1" applyFont="1" applyFill="1" applyBorder="1" applyAlignment="1">
      <alignment horizontal="left" vertical="center" wrapText="1"/>
    </xf>
    <xf numFmtId="0" fontId="4" fillId="0" borderId="44" xfId="0" quotePrefix="1" applyFont="1" applyBorder="1" applyAlignment="1">
      <alignment horizontal="center" vertical="center" wrapText="1"/>
    </xf>
    <xf numFmtId="0" fontId="4" fillId="0" borderId="29" xfId="0" quotePrefix="1" applyFont="1" applyBorder="1" applyAlignment="1">
      <alignment horizontal="center" vertical="center" wrapText="1"/>
    </xf>
    <xf numFmtId="0" fontId="22" fillId="0" borderId="26" xfId="0" quotePrefix="1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center" wrapText="1"/>
    </xf>
    <xf numFmtId="0" fontId="4" fillId="0" borderId="34" xfId="0" quotePrefix="1" applyFont="1" applyBorder="1" applyAlignment="1">
      <alignment horizontal="center" vertical="center" wrapText="1"/>
    </xf>
    <xf numFmtId="0" fontId="13" fillId="5" borderId="45" xfId="0" applyFont="1" applyFill="1" applyBorder="1" applyAlignment="1">
      <alignment horizontal="center" vertical="center" wrapText="1"/>
    </xf>
    <xf numFmtId="0" fontId="29" fillId="0" borderId="26" xfId="0" quotePrefix="1" applyFont="1" applyBorder="1" applyAlignment="1">
      <alignment horizontal="left" vertical="top" wrapText="1"/>
    </xf>
    <xf numFmtId="49" fontId="7" fillId="6" borderId="24" xfId="0" quotePrefix="1" applyNumberFormat="1" applyFont="1" applyFill="1" applyBorder="1" applyAlignment="1">
      <alignment horizontal="center" vertical="center" wrapText="1"/>
    </xf>
    <xf numFmtId="49" fontId="7" fillId="6" borderId="26" xfId="0" quotePrefix="1" applyNumberFormat="1" applyFont="1" applyFill="1" applyBorder="1" applyAlignment="1">
      <alignment horizontal="center" vertical="center" wrapText="1"/>
    </xf>
    <xf numFmtId="0" fontId="0" fillId="5" borderId="46" xfId="0" applyFill="1" applyBorder="1" applyAlignment="1">
      <alignment horizontal="center" vertical="center"/>
    </xf>
    <xf numFmtId="0" fontId="4" fillId="0" borderId="34" xfId="0" quotePrefix="1" applyFont="1" applyBorder="1" applyAlignment="1">
      <alignment horizontal="center" vertical="center"/>
    </xf>
    <xf numFmtId="0" fontId="20" fillId="0" borderId="26" xfId="0" quotePrefix="1" applyFont="1" applyBorder="1" applyAlignment="1">
      <alignment horizontal="left" vertical="top" wrapText="1"/>
    </xf>
    <xf numFmtId="0" fontId="28" fillId="0" borderId="26" xfId="0" quotePrefix="1" applyFont="1" applyBorder="1" applyAlignment="1">
      <alignment horizontal="left" vertical="top" wrapText="1"/>
    </xf>
    <xf numFmtId="0" fontId="0" fillId="5" borderId="47" xfId="0" applyFill="1" applyBorder="1" applyAlignment="1">
      <alignment horizontal="center" vertical="center" wrapText="1"/>
    </xf>
    <xf numFmtId="0" fontId="27" fillId="0" borderId="26" xfId="0" quotePrefix="1" applyFont="1" applyBorder="1" applyAlignment="1">
      <alignment horizontal="left" vertical="top" wrapText="1"/>
    </xf>
    <xf numFmtId="0" fontId="13" fillId="0" borderId="24" xfId="0" quotePrefix="1" applyFont="1" applyBorder="1" applyAlignment="1">
      <alignment horizontal="left" vertical="top" wrapText="1"/>
    </xf>
    <xf numFmtId="0" fontId="4" fillId="0" borderId="24" xfId="0" quotePrefix="1" applyFont="1" applyBorder="1" applyAlignment="1">
      <alignment horizontal="center" vertical="center" wrapText="1"/>
    </xf>
    <xf numFmtId="0" fontId="0" fillId="5" borderId="48" xfId="0" applyFill="1" applyBorder="1" applyAlignment="1">
      <alignment horizontal="center" vertical="center"/>
    </xf>
    <xf numFmtId="49" fontId="4" fillId="0" borderId="33" xfId="0" quotePrefix="1" applyNumberFormat="1" applyFont="1" applyBorder="1" applyAlignment="1">
      <alignment horizontal="center" vertical="center" wrapText="1"/>
    </xf>
    <xf numFmtId="0" fontId="26" fillId="0" borderId="26" xfId="0" quotePrefix="1" applyFont="1" applyBorder="1" applyAlignment="1">
      <alignment horizontal="left" vertical="top" wrapText="1"/>
    </xf>
    <xf numFmtId="0" fontId="25" fillId="0" borderId="26" xfId="0" quotePrefix="1" applyFont="1" applyBorder="1" applyAlignment="1">
      <alignment horizontal="left" vertical="top" wrapText="1"/>
    </xf>
    <xf numFmtId="0" fontId="0" fillId="5" borderId="31" xfId="0" applyFill="1" applyBorder="1" applyAlignment="1">
      <alignment horizontal="center" vertical="center"/>
    </xf>
    <xf numFmtId="0" fontId="18" fillId="0" borderId="26" xfId="0" quotePrefix="1" applyFont="1" applyBorder="1" applyAlignment="1">
      <alignment horizontal="left" vertical="top" wrapText="1"/>
    </xf>
    <xf numFmtId="49" fontId="4" fillId="0" borderId="37" xfId="0" quotePrefix="1" applyNumberFormat="1" applyFont="1" applyBorder="1" applyAlignment="1">
      <alignment horizontal="center" vertical="center" wrapText="1"/>
    </xf>
    <xf numFmtId="0" fontId="4" fillId="0" borderId="25" xfId="0" quotePrefix="1" applyFont="1" applyAlignment="1" applyBorder="1">
      <alignment horizontal="center" vertical="center" wrapText="1"/>
    </xf>
  </cellXfs>
  <cellStyles count="3">
    <cellStyle name="Normal" xfId="1" xr:uid="{4D5820C0-423F-491D-A7B2-FEB9ED0A2168}"/>
    <cellStyle name="표준" xfId="0" builtinId="0"/>
    <cellStyle name="표준 2" xfId="2" xr:uid="{E93321A9-758A-4D2D-9F37-9CC53C4817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D37"/>
  <sheetViews>
    <sheetView workbookViewId="0">
      <selection activeCell="X18" sqref="X18"/>
    </sheetView>
  </sheetViews>
  <sheetFormatPr defaultColWidth="5.75" defaultRowHeight="16.5"/>
  <cols>
    <col min="1" max="1" width="1.125" style="1" customWidth="1"/>
    <col min="2" max="15" width="6.375" style="1" customWidth="1"/>
    <col min="16" max="16" width="4.625" style="1" customWidth="1"/>
    <col min="17" max="17" width="1.125" style="1" customWidth="1"/>
    <col min="18" max="42" width="5.75" style="1"/>
    <col min="43" max="43" width="7.875" style="1" bestFit="1" customWidth="1"/>
    <col min="44" max="16384" width="5.75" style="1"/>
  </cols>
  <sheetData>
    <row r="1" spans="2:30" ht="3" customHeight="1"/>
    <row r="2" spans="2:30">
      <c r="J2" s="98" t="s">
        <v>0</v>
      </c>
      <c r="K2" s="99"/>
      <c r="L2" s="100" t="s">
        <v>110</v>
      </c>
      <c r="M2" s="99"/>
      <c r="N2" s="99"/>
      <c r="O2" s="99"/>
      <c r="P2" s="12"/>
    </row>
    <row r="3" spans="2:30">
      <c r="J3" s="99" t="s">
        <v>1</v>
      </c>
      <c r="K3" s="99"/>
      <c r="L3" s="99" t="s">
        <v>105</v>
      </c>
      <c r="M3" s="99"/>
      <c r="N3" s="99"/>
      <c r="O3" s="99"/>
      <c r="P3" s="12"/>
    </row>
    <row r="4" spans="2:30" ht="17.25" thickBot="1"/>
    <row r="5" spans="2:30">
      <c r="B5" s="101" t="s">
        <v>111</v>
      </c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3"/>
      <c r="Y5" s="113"/>
      <c r="Z5" s="114"/>
      <c r="AA5" s="114"/>
      <c r="AB5" s="114"/>
      <c r="AC5" s="114"/>
      <c r="AD5" s="114"/>
    </row>
    <row r="6" spans="2:30" ht="16.5" customHeight="1">
      <c r="B6" s="104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6"/>
      <c r="Y6" s="114"/>
      <c r="Z6" s="114"/>
      <c r="AA6" s="114"/>
      <c r="AB6" s="114"/>
      <c r="AC6" s="114"/>
      <c r="AD6" s="114"/>
    </row>
    <row r="7" spans="2:30" ht="16.5" customHeight="1">
      <c r="B7" s="104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6"/>
    </row>
    <row r="8" spans="2:30" ht="16.5" customHeight="1" thickBot="1">
      <c r="B8" s="107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9"/>
    </row>
    <row r="9" spans="2:30" ht="16.5" customHeight="1"/>
    <row r="10" spans="2:30" ht="17.25" customHeight="1"/>
    <row r="11" spans="2:30" ht="17.25">
      <c r="B11" s="115"/>
      <c r="C11" s="115"/>
      <c r="D11" s="116" t="s">
        <v>106</v>
      </c>
      <c r="E11" s="116"/>
      <c r="F11" s="116"/>
      <c r="G11" s="116"/>
      <c r="H11" s="116" t="s">
        <v>107</v>
      </c>
      <c r="I11" s="116"/>
      <c r="J11" s="116" t="s">
        <v>5</v>
      </c>
      <c r="K11" s="116"/>
      <c r="L11" s="116"/>
      <c r="M11" s="116" t="s">
        <v>108</v>
      </c>
      <c r="N11" s="116"/>
      <c r="O11" s="116"/>
    </row>
    <row r="12" spans="2:30">
      <c r="B12" s="115" t="s">
        <v>2</v>
      </c>
      <c r="C12" s="115"/>
      <c r="D12" s="94" t="s">
        <v>112</v>
      </c>
      <c r="E12" s="94"/>
      <c r="F12" s="94"/>
      <c r="G12" s="94"/>
      <c r="H12" s="94" t="s">
        <v>113</v>
      </c>
      <c r="I12" s="94"/>
      <c r="J12" s="94"/>
      <c r="K12" s="94"/>
      <c r="L12" s="94"/>
      <c r="M12" s="94"/>
      <c r="N12" s="94"/>
      <c r="O12" s="94"/>
    </row>
    <row r="13" spans="2:30">
      <c r="B13" s="115"/>
      <c r="C13" s="115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</row>
    <row r="14" spans="2:30">
      <c r="B14" s="115" t="s">
        <v>3</v>
      </c>
      <c r="C14" s="115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</row>
    <row r="15" spans="2:30">
      <c r="B15" s="115"/>
      <c r="C15" s="115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</row>
    <row r="16" spans="2:30" ht="17.100000000000001" customHeight="1">
      <c r="B16" s="115" t="s">
        <v>4</v>
      </c>
      <c r="C16" s="115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</row>
    <row r="17" spans="2:15" ht="16.5" customHeight="1">
      <c r="B17" s="115"/>
      <c r="C17" s="115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</row>
    <row r="19" spans="2:15">
      <c r="L19"/>
    </row>
    <row r="22" spans="2:15">
      <c r="B22" s="110" t="s">
        <v>6</v>
      </c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2"/>
    </row>
    <row r="23" spans="2:15">
      <c r="B23" s="94" t="s">
        <v>7</v>
      </c>
      <c r="C23" s="94"/>
      <c r="D23" s="94" t="s">
        <v>8</v>
      </c>
      <c r="E23" s="94"/>
      <c r="F23" s="94" t="s">
        <v>9</v>
      </c>
      <c r="G23" s="94"/>
      <c r="H23" s="94"/>
      <c r="I23" s="94"/>
      <c r="J23" s="94"/>
      <c r="K23" s="94"/>
      <c r="L23" s="94"/>
      <c r="M23" s="94"/>
      <c r="N23" s="94"/>
      <c r="O23" s="94"/>
    </row>
    <row r="24" spans="2:15">
      <c r="B24" s="94">
        <v>0</v>
      </c>
      <c r="C24" s="94"/>
      <c r="D24" s="94"/>
      <c r="E24" s="94"/>
      <c r="F24" s="94" t="s">
        <v>109</v>
      </c>
      <c r="G24" s="94"/>
      <c r="H24" s="94"/>
      <c r="I24" s="94"/>
      <c r="J24" s="94"/>
      <c r="K24" s="94"/>
      <c r="L24" s="94"/>
      <c r="M24" s="94"/>
      <c r="N24" s="94"/>
      <c r="O24" s="94"/>
    </row>
    <row r="25" spans="2:15">
      <c r="B25" s="94"/>
      <c r="C25" s="94"/>
      <c r="D25" s="94"/>
      <c r="E25" s="94"/>
      <c r="F25" s="117"/>
      <c r="G25" s="94"/>
      <c r="H25" s="94"/>
      <c r="I25" s="94"/>
      <c r="J25" s="94"/>
      <c r="K25" s="94"/>
      <c r="L25" s="94"/>
      <c r="M25" s="94"/>
      <c r="N25" s="94"/>
      <c r="O25" s="94"/>
    </row>
    <row r="26" spans="2:15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</row>
    <row r="27" spans="2:15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</row>
    <row r="28" spans="2:15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</row>
    <row r="29" spans="2:15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</row>
    <row r="30" spans="2:15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</row>
    <row r="31" spans="2:15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</row>
    <row r="32" spans="2:15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</row>
    <row r="33" spans="2:15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</row>
    <row r="34" spans="2:15">
      <c r="B34" s="95"/>
      <c r="C34" s="96"/>
      <c r="D34" s="95"/>
      <c r="E34" s="96"/>
      <c r="F34" s="95"/>
      <c r="G34" s="97"/>
      <c r="H34" s="97"/>
      <c r="I34" s="97"/>
      <c r="J34" s="97"/>
      <c r="K34" s="97"/>
      <c r="L34" s="97"/>
      <c r="M34" s="97"/>
      <c r="N34" s="97"/>
      <c r="O34" s="96"/>
    </row>
    <row r="35" spans="2:15">
      <c r="B35" s="95"/>
      <c r="C35" s="96"/>
      <c r="D35" s="95"/>
      <c r="E35" s="96"/>
      <c r="F35" s="95"/>
      <c r="G35" s="97"/>
      <c r="H35" s="97"/>
      <c r="I35" s="97"/>
      <c r="J35" s="97"/>
      <c r="K35" s="97"/>
      <c r="L35" s="97"/>
      <c r="M35" s="97"/>
      <c r="N35" s="97"/>
      <c r="O35" s="96"/>
    </row>
    <row r="36" spans="2:15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</row>
    <row r="37" spans="2:15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</row>
  </sheetData>
  <mergeCells count="75">
    <mergeCell ref="B29:C29"/>
    <mergeCell ref="D29:E29"/>
    <mergeCell ref="F29:O29"/>
    <mergeCell ref="B30:C30"/>
    <mergeCell ref="D30:E30"/>
    <mergeCell ref="F30:O30"/>
    <mergeCell ref="B25:C25"/>
    <mergeCell ref="D25:E25"/>
    <mergeCell ref="F25:O25"/>
    <mergeCell ref="B28:C28"/>
    <mergeCell ref="D28:E28"/>
    <mergeCell ref="F28:O28"/>
    <mergeCell ref="B26:C26"/>
    <mergeCell ref="D26:E26"/>
    <mergeCell ref="F26:O26"/>
    <mergeCell ref="B27:C27"/>
    <mergeCell ref="D27:E27"/>
    <mergeCell ref="F27:O27"/>
    <mergeCell ref="B16:C17"/>
    <mergeCell ref="D16:G17"/>
    <mergeCell ref="H16:I17"/>
    <mergeCell ref="J16:L17"/>
    <mergeCell ref="M16:O17"/>
    <mergeCell ref="B14:C15"/>
    <mergeCell ref="D14:G15"/>
    <mergeCell ref="H14:I15"/>
    <mergeCell ref="J14:L15"/>
    <mergeCell ref="M14:O15"/>
    <mergeCell ref="B12:C13"/>
    <mergeCell ref="D12:G13"/>
    <mergeCell ref="H12:I13"/>
    <mergeCell ref="J12:L13"/>
    <mergeCell ref="M12:O13"/>
    <mergeCell ref="Y5:Z5"/>
    <mergeCell ref="AA5:AD5"/>
    <mergeCell ref="Y6:Z6"/>
    <mergeCell ref="AA6:AD6"/>
    <mergeCell ref="B11:C11"/>
    <mergeCell ref="D11:G11"/>
    <mergeCell ref="H11:I11"/>
    <mergeCell ref="J11:L11"/>
    <mergeCell ref="M11:O11"/>
    <mergeCell ref="B22:O22"/>
    <mergeCell ref="B23:C23"/>
    <mergeCell ref="D23:E23"/>
    <mergeCell ref="F23:O23"/>
    <mergeCell ref="B24:C24"/>
    <mergeCell ref="D24:E24"/>
    <mergeCell ref="F24:O24"/>
    <mergeCell ref="J2:K2"/>
    <mergeCell ref="L2:O2"/>
    <mergeCell ref="J3:K3"/>
    <mergeCell ref="L3:O3"/>
    <mergeCell ref="B5:O8"/>
    <mergeCell ref="B31:C31"/>
    <mergeCell ref="D31:E31"/>
    <mergeCell ref="F31:O31"/>
    <mergeCell ref="B32:C32"/>
    <mergeCell ref="D32:E32"/>
    <mergeCell ref="F32:O32"/>
    <mergeCell ref="B33:C33"/>
    <mergeCell ref="D33:E33"/>
    <mergeCell ref="F33:O33"/>
    <mergeCell ref="B34:C34"/>
    <mergeCell ref="D34:E34"/>
    <mergeCell ref="F34:O34"/>
    <mergeCell ref="B37:C37"/>
    <mergeCell ref="D37:E37"/>
    <mergeCell ref="F37:O37"/>
    <mergeCell ref="B35:C35"/>
    <mergeCell ref="D35:E35"/>
    <mergeCell ref="F35:O35"/>
    <mergeCell ref="B36:C36"/>
    <mergeCell ref="D36:E36"/>
    <mergeCell ref="F36:O36"/>
  </mergeCells>
  <phoneticPr fontId="1" type="noConversion"/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7C19C-F1ED-4474-A430-47507ACD292F}">
  <sheetPr>
    <pageSetUpPr fitToPage="1"/>
  </sheetPr>
  <dimension ref="B3:I92"/>
  <sheetViews>
    <sheetView tabSelected="1" topLeftCell="A58" zoomScale="85" zoomScaleNormal="85" zoomScalePageLayoutView="85" workbookViewId="0">
      <selection activeCell="F63" sqref="F63"/>
    </sheetView>
  </sheetViews>
  <sheetFormatPr defaultColWidth="9" defaultRowHeight="16.5"/>
  <cols>
    <col min="1" max="1" width="1.5" style="1" customWidth="1"/>
    <col min="2" max="2" width="20.875" style="3" customWidth="1"/>
    <col min="3" max="3" width="15.875" style="1" customWidth="1"/>
    <col min="4" max="4" width="7.125" style="1" customWidth="1"/>
    <col min="5" max="5" width="10.5" style="1" customWidth="1"/>
    <col min="6" max="6" width="39.125" style="8" customWidth="1"/>
    <col min="7" max="7" width="13.25" style="1" customWidth="1"/>
    <col min="8" max="8" width="15" style="1" customWidth="1"/>
    <col min="9" max="9" width="9.375" style="2" customWidth="1"/>
    <col min="10" max="10" width="14.625" style="1" customWidth="1"/>
    <col min="11" max="16384" width="9" style="1"/>
  </cols>
  <sheetData>
    <row r="3" spans="2:9" ht="52.5" customHeight="1">
      <c r="B3" s="169" t="inlineStr">
        <is>
          <r>
            <t xml:space="preserve">
소프트웨어 요구사항
</t>
          </r>
        </is>
      </c>
      <c r="C3" s="56"/>
      <c r="D3" s="56"/>
      <c r="E3" s="56"/>
      <c r="F3" s="56"/>
      <c r="G3" s="56"/>
      <c r="H3" s="56"/>
      <c r="I3" s="56"/>
    </row>
    <row r="4" spans="2:9" ht="57.0" customHeight="1">
      <c r="B4" s="155" t="inlineStr">
        <is>
          <r>
            <t xml:space="preserve">
대분류 (IEC 62304 5.2.2)
</t>
          </r>
        </is>
      </c>
      <c r="C4" s="179" t="inlineStr">
        <is>
          <r>
            <t xml:space="preserve">
소분류
</t>
          </r>
        </is>
      </c>
      <c r="D4" s="157"/>
      <c r="E4" s="175"/>
      <c r="F4" s="155" t="inlineStr">
        <is>
          <r>
            <t xml:space="preserve">
내용 상세
</t>
          </r>
        </is>
      </c>
      <c r="G4" s="155" t="inlineStr">
        <is>
          <r>
            <t xml:space="preserve">
요구사항 식별
</t>
          </r>
        </is>
      </c>
      <c r="H4" s="171" t="inlineStr">
        <is>
          <r>
            <t xml:space="preserve">
다른 발생원 추적
(설계 입력 요구사항 사양서)
</t>
          </r>
        </is>
      </c>
      <c r="I4" s="158"/>
    </row>
    <row r="5" spans="2:9" ht="52.5" customHeight="1">
      <c r="B5" s="131"/>
      <c r="C5" s="159"/>
      <c r="D5" s="183"/>
      <c r="E5" s="156"/>
      <c r="F5" s="131"/>
      <c r="G5" s="187"/>
      <c r="H5" s="143" t="inlineStr">
        <is>
          <r>
            <t xml:space="preserve">
펌웨어 부분
</t>
          </r>
        </is>
      </c>
      <c r="I5" s="143" t="inlineStr">
        <is>
          <r>
            <t xml:space="preserve">
그 외
</t>
          </r>
        </is>
      </c>
    </row>
    <row r="6" spans="2:9" ht="60" customHeight="1">
      <c r="B6" s="173" t="inlineStr">
        <is>
          <r>
            <t xml:space="preserve">
a) 기능 및 성능 요구사항
functional and capability requirements
</t>
          </r>
        </is>
      </c>
      <c r="C6" s="126" t="inlineStr">
        <is>
          <r>
            <t xml:space="preserve">
자극 출력 조정
</t>
          </r>
        </is>
      </c>
      <c r="D6" s="126" t="inlineStr">
        <is>
          <r>
            <t xml:space="preserve">
자극율
</t>
          </r>
        </is>
      </c>
      <c r="E6" s="160" t="inlineStr">
        <is>
          <r>
            <t xml:space="preserve">
전채널 최대
</t>
          </r>
        </is>
      </c>
      <c r="F6" s="127" t="inlineStr">
        <is>
          <r>
            <t xml:space="preserve">
전채널 동시에 자극률은 20kHz이상이어야 한다.(32채널 사용)
</t>
          </r>
        </is>
      </c>
      <c r="G6" s="120" t="str">
        <f>"SW-FW-RID-"&amp;1</f>
        <v>SW-FW-RID-1</v>
      </c>
      <c r="H6" s="182" t="inlineStr">
        <is>
          <r>
            <t xml:space="preserve">
SYS-RID-SP-FW-2
</t>
          </r>
        </is>
      </c>
      <c r="I6" s="4"/>
    </row>
    <row r="7" spans="2:9" ht="57.0" customHeight="1">
      <c r="B7" s="138"/>
      <c r="C7" s="119"/>
      <c r="D7" s="122"/>
      <c r="E7" s="162" t="inlineStr">
        <is>
          <r>
            <t xml:space="preserve">
채널별 최대
</t>
          </r>
        </is>
      </c>
      <c r="F7" s="127" t="inlineStr">
        <is>
          <r>
            <t xml:space="preserve">
채널별 최대 자극률은 1000Hz 이상이어야 한다.(24채널 사용)
</t>
          </r>
        </is>
      </c>
      <c r="G7" s="120" t="str">
        <f>"SW-FW-RID-"&amp;2</f>
        <v>SW-FW-RID-2</v>
      </c>
      <c r="H7" s="153"/>
      <c r="I7" s="4"/>
    </row>
    <row r="8" spans="2:9" ht="43.5" customHeight="1">
      <c r="B8" s="138"/>
      <c r="C8" s="119"/>
      <c r="D8" s="128" t="inlineStr">
        <is>
          <r>
            <t xml:space="preserve">
자극 모드
</t>
          </r>
        </is>
      </c>
      <c r="E8" s="148"/>
      <c r="F8" s="127" t="inlineStr">
        <is>
          <r>
            <t xml:space="preserve">
모노폴라 자극 모드 출력이 가능해야한다.
</t>
          </r>
        </is>
      </c>
      <c r="G8" s="120" t="str">
        <f>"SW-FW-RID-"&amp;3</f>
        <v>SW-FW-RID-3</v>
      </c>
      <c r="H8" s="120" t="inlineStr">
        <is>
          <r>
            <t xml:space="preserve">
SYS-RID-SP-FW-1
</t>
          </r>
        </is>
      </c>
      <c r="I8" s="9"/>
    </row>
    <row r="9" spans="2:9" ht="47.1" customHeight="1">
      <c r="B9" s="138"/>
      <c r="C9" s="119"/>
      <c r="D9" s="128" t="inlineStr">
        <is>
          <r>
            <t xml:space="preserve">
선행 펄스 모양
</t>
          </r>
        </is>
      </c>
      <c r="E9" s="148"/>
      <c r="F9" s="127" t="inlineStr">
        <is>
          <r>
            <t xml:space="preserve">
negative/positive phase 선택이 가능해야 한다.
</t>
          </r>
        </is>
      </c>
      <c r="G9" s="120" t="str">
        <f>"SW-FW-RID-"&amp;4</f>
        <v>SW-FW-RID-4</v>
      </c>
      <c r="H9" s="120" t="inlineStr">
        <is>
          <r>
            <t xml:space="preserve">
SYS-RID-SP-FW-4
</t>
          </r>
        </is>
      </c>
      <c r="I9" s="4"/>
    </row>
    <row r="10" spans="2:9" ht="57.0" customHeight="1">
      <c r="B10" s="138"/>
      <c r="C10" s="119"/>
      <c r="D10" s="128" t="inlineStr">
        <is>
          <r>
            <t xml:space="preserve">
자극 크기
</t>
          </r>
        </is>
      </c>
      <c r="E10" s="148"/>
      <c r="F10" s="127" t="inlineStr">
        <is>
          <r>
            <t xml:space="preserve">
내부 자극칩 출력 범위 내에서 조정이 가능해야 한다.
</t>
          </r>
        </is>
      </c>
      <c r="G10" s="120" t="str">
        <f>"SW-FW-RID-"&amp;5</f>
        <v>SW-FW-RID-5</v>
      </c>
      <c r="H10" s="120" t="inlineStr">
        <is>
          <r>
            <t xml:space="preserve">
SYS-RID-SP-FW-5
</t>
          </r>
        </is>
      </c>
      <c r="I10" s="4"/>
    </row>
    <row r="11" spans="2:9" ht="57.0" customHeight="1">
      <c r="B11" s="138"/>
      <c r="C11" s="119"/>
      <c r="D11" s="128" t="inlineStr">
        <is>
          <r>
            <t xml:space="preserve">
자극 펄스폭
</t>
          </r>
        </is>
      </c>
      <c r="E11" s="148"/>
      <c r="F11" s="127" t="inlineStr">
        <is>
          <r>
            <t xml:space="preserve">
자극 펄스 폭은 13~255usec 범위에서 1usec 단위로 조정이 가능해야한다.
</t>
          </r>
        </is>
      </c>
      <c r="G11" s="120" t="str">
        <f>"SW-FW-RID-"&amp;6</f>
        <v>SW-FW-RID-6</v>
      </c>
      <c r="H11" s="120" t="inlineStr">
        <is>
          <r>
            <t xml:space="preserve">
SYS-RID-SP-FW-3
</t>
          </r>
        </is>
      </c>
      <c r="I11" s="4"/>
    </row>
    <row r="12" spans="2:9" ht="70.5" customHeight="1">
      <c r="B12" s="138"/>
      <c r="C12" s="122"/>
      <c r="D12" s="128" t="inlineStr">
        <is>
          <r>
            <t xml:space="preserve">
자극 크기/펄스폭 관계
</t>
          </r>
        </is>
      </c>
      <c r="E12" s="148"/>
      <c r="F12" s="127" t="inlineStr">
        <is>
          <r>
            <t xml:space="preserve">
인공와우 내부기 시스템의 전극에서 출력되는 최대 전하량이 안전치를 초과하지 않도록 펄스폭에 따라 최종 자극 크기의 제한이 필요하다.
</t>
          </r>
        </is>
      </c>
      <c r="G12" s="120" t="str">
        <f>"SW-FW-RID-"&amp;7</f>
        <v>SW-FW-RID-7</v>
      </c>
      <c r="H12" s="4"/>
      <c r="I12" s="4"/>
    </row>
    <row r="13" spans="2:9" ht="57.0" customHeight="1">
      <c r="B13" s="138"/>
      <c r="C13" s="126" t="inlineStr">
        <is>
          <r>
            <t xml:space="preserve">
사운드  처리
</t>
          </r>
        </is>
      </c>
      <c r="D13" s="162" t="inlineStr">
        <is>
          <r>
            <t xml:space="preserve">
전처리
</t>
          </r>
        </is>
      </c>
      <c r="E13" s="162" t="inlineStr">
        <is>
          <r>
            <t xml:space="preserve">
마이크 감도 
조절 기능
</t>
          </r>
        </is>
      </c>
      <c r="F13" s="127" t="inlineStr">
        <is>
          <r>
            <t xml:space="preserve">
AGC를 사용한 감도 조절 10단계
</t>
          </r>
        </is>
      </c>
      <c r="G13" s="120" t="str">
        <f>"SW-FW-RID-"&amp;8</f>
        <v>SW-FW-RID-8</v>
      </c>
      <c r="H13" s="120" t="inlineStr">
        <is>
          <r>
            <t xml:space="preserve">
SYS-RID-SP-FW-6
</t>
          </r>
        </is>
      </c>
      <c r="I13" s="4"/>
    </row>
    <row r="14" spans="2:9" ht="47.1" customHeight="1">
      <c r="B14" s="138"/>
      <c r="C14" s="119"/>
      <c r="D14" s="128" t="inlineStr">
        <is>
          <r>
            <t xml:space="preserve">
주파수 분석 방법
</t>
          </r>
        </is>
      </c>
      <c r="E14" s="136"/>
      <c r="F14" s="127" t="inlineStr">
        <is>
          <r>
            <t xml:space="preserve">
FFT 방식으로 신호의 주파수를 성분을 분석한다.
</t>
          </r>
        </is>
      </c>
      <c r="G14" s="120" t="str">
        <f>"SW-FW-RID-"&amp;9</f>
        <v>SW-FW-RID-9</v>
      </c>
      <c r="H14" s="120" t="inlineStr">
        <is>
          <r>
            <t xml:space="preserve">
SYS-RID-SP-FW-7
</t>
          </r>
        </is>
      </c>
      <c r="I14" s="4"/>
    </row>
    <row r="15" spans="2:9" ht="47.1" customHeight="1">
      <c r="B15" s="138"/>
      <c r="C15" s="119"/>
      <c r="D15" s="128" t="inlineStr">
        <is>
          <r>
            <t xml:space="preserve">
주파수 분석 대역수
</t>
          </r>
        </is>
      </c>
      <c r="E15" s="136"/>
      <c r="F15" s="127" t="inlineStr">
        <is>
          <r>
            <t xml:space="preserve">
1~32채널의 대역수로 주파수 분석이 가능해야한다.
</t>
          </r>
        </is>
      </c>
      <c r="G15" s="120" t="str">
        <f>"SW-FW-RID-"&amp;10</f>
        <v>SW-FW-RID-10</v>
      </c>
      <c r="H15" s="120" t="inlineStr">
        <is>
          <r>
            <t xml:space="preserve">
SYS-RID-SP-FW-8
</t>
          </r>
        </is>
      </c>
      <c r="I15" s="4"/>
    </row>
    <row r="16" spans="2:9" ht="47.1" customHeight="1">
      <c r="B16" s="138"/>
      <c r="C16" s="119"/>
      <c r="D16" s="128" t="inlineStr">
        <is>
          <r>
            <t xml:space="preserve">
자극 기법
</t>
          </r>
        </is>
      </c>
      <c r="E16" s="136"/>
      <c r="F16" s="127" t="inlineStr">
        <is>
          <r>
            <t xml:space="preserve">
필수 : CIS, 옵션 : N-of-M
</t>
          </r>
        </is>
      </c>
      <c r="G16" s="120" t="str">
        <f>"SW-FW-RID-"&amp;11</f>
        <v>SW-FW-RID-11</v>
      </c>
      <c r="H16" s="120" t="inlineStr">
        <is>
          <r>
            <t xml:space="preserve">
SYS-RID-SP-FW-9
</t>
          </r>
        </is>
      </c>
      <c r="I16" s="4"/>
    </row>
    <row r="17" spans="2:9" ht="57.0" customHeight="1">
      <c r="B17" s="138"/>
      <c r="C17" s="122"/>
      <c r="D17" s="128" t="inlineStr">
        <is>
          <r>
            <t xml:space="preserve">
사운드 처리 주기
</t>
          </r>
        </is>
      </c>
      <c r="E17" s="136"/>
      <c r="F17" s="127" t="inlineStr">
        <is>
          <r>
            <t xml:space="preserve">
사운드 처리 주기는 1.00ms이며 허용 오차는 +/-5%(0.95~1.05ms)이다.
</t>
          </r>
        </is>
      </c>
      <c r="G17" s="120" t="str">
        <f>"SW-FW-RID-"&amp;12</f>
        <v>SW-FW-RID-12</v>
      </c>
      <c r="H17" s="120" t="inlineStr">
        <is>
          <r>
            <t xml:space="preserve">
SYS-RID-SP-FW-10
</t>
          </r>
        </is>
      </c>
      <c r="I17" s="4"/>
    </row>
    <row r="18" spans="2:9" ht="43.5" customHeight="1">
      <c r="B18" s="138"/>
      <c r="C18" s="126" t="inlineStr">
        <is>
          <r>
            <t xml:space="preserve">
기능
</t>
          </r>
        </is>
      </c>
      <c r="D18" s="128" t="inlineStr">
        <is>
          <r>
            <t xml:space="preserve">
프로그램 수
</t>
          </r>
        </is>
      </c>
      <c r="E18" s="136"/>
      <c r="F18" s="127" t="inlineStr">
        <is>
          <r>
            <t xml:space="preserve">
4개의 맵 데이터를 사용할 수 있어야 한다.
</t>
          </r>
        </is>
      </c>
      <c r="G18" s="120" t="str">
        <f>"SW-FW-RID-"&amp;13</f>
        <v>SW-FW-RID-13</v>
      </c>
      <c r="H18" s="120" t="inlineStr">
        <is>
          <r>
            <t xml:space="preserve">
SYS-RID-SP-FW-11
</t>
          </r>
        </is>
      </c>
      <c r="I18" s="4"/>
    </row>
    <row r="19" spans="2:9" ht="47.1" customHeight="1">
      <c r="B19" s="125"/>
      <c r="C19" s="122"/>
      <c r="D19" s="128" t="inlineStr">
        <is>
          <r>
            <t xml:space="preserve">
자극 볼륨 조절
</t>
          </r>
        </is>
      </c>
      <c r="E19" s="136"/>
      <c r="F19" s="127" t="inlineStr">
        <is>
          <r>
            <t xml:space="preserve">
자극 볼륨은 4단계로 조정 가능해야한다.
</t>
          </r>
        </is>
      </c>
      <c r="G19" s="120" t="str">
        <f>"SW-FW-RID-"&amp;14</f>
        <v>SW-FW-RID-14</v>
      </c>
      <c r="H19" s="120" t="inlineStr">
        <is>
          <r>
            <t xml:space="preserve">
SYS-RID-SP-FW-12
</t>
          </r>
        </is>
      </c>
      <c r="I19" s="4"/>
    </row>
    <row r="20" spans="2:9" ht="126.0" customHeight="1">
      <c r="B20" s="173" t="inlineStr">
        <is>
          <r>
            <t xml:space="preserve">
b) 소프트웨어 시스템 입력과 출력
(SOFTWARE SYSTEM inputs and outputs)
</t>
          </r>
        </is>
      </c>
      <c r="C20" s="126" t="inlineStr">
        <is>
          <r>
            <t xml:space="preserve">
사운드  처리
</t>
          </r>
        </is>
      </c>
      <c r="D20" s="133" t="inlineStr">
        <is>
          <r>
            <t xml:space="preserve">
입력단
</t>
          </r>
        </is>
      </c>
      <c r="E20" s="137"/>
      <c r="F20" s="188" t="inlineStr">
        <is>
          <r>
            <t xml:space="preserve">
2개 이상의 오디오 소스를 입력 받을 수 있어야 한다.
</t>
          </r>
          <r>
            <rPr>
              <rFont val="맑은 고딕"/>
              <sz val="12"/>
              <color rgb="FFC00000"/>
              <u val="single"/>
            </rPr>
            <t xml:space="preserve">[QCC 자료 입력] I2S 오디오 공급을 담당하는 QCC 내부 모듈/유닛의 설계 연결을 추가한다.</t>
          </r>
          <r>
            <t xml:space="preserve">
</t>
          </r>
        </is>
      </c>
      <c r="G20" s="120" t="str">
        <f>"SW-FW-RID-"&amp;15</f>
        <v>SW-FW-RID-15</v>
      </c>
      <c r="H20" s="4"/>
      <c r="I20" s="4"/>
    </row>
    <row r="21" spans="2:9" ht="43.5" customHeight="1">
      <c r="B21" s="123"/>
      <c r="C21" s="119"/>
      <c r="D21" s="140"/>
      <c r="E21" s="164"/>
      <c r="F21" s="127" t="inlineStr">
        <is>
          <r>
            <t xml:space="preserve">
8kHz 오디오 신호를 입력 받을 수 있어야 한다.
</t>
          </r>
        </is>
      </c>
      <c r="G21" s="120" t="str">
        <f>"SW-FW-RID-"&amp;16</f>
        <v>SW-FW-RID-16</v>
      </c>
      <c r="H21" s="4"/>
      <c r="I21" s="4"/>
    </row>
    <row r="22" spans="2:9" ht="57.0" customHeight="1">
      <c r="B22" s="123"/>
      <c r="C22" s="119"/>
      <c r="D22" s="128" t="inlineStr">
        <is>
          <r>
            <t xml:space="preserve">
출력단
</t>
          </r>
        </is>
      </c>
      <c r="E22" s="136"/>
      <c r="F22" s="127" t="inlineStr">
        <is>
          <r>
            <t xml:space="preserve">
오디오 신호처리의 최종 출력은 PCM 데이터로 변환되어 FPGA에 전달되어야 한다.
</t>
          </r>
        </is>
      </c>
      <c r="G22" s="120" t="str">
        <f>"SW-FW-RID-"&amp;17</f>
        <v>SW-FW-RID-17</v>
      </c>
      <c r="H22" s="4"/>
      <c r="I22" s="4"/>
    </row>
    <row r="23" spans="2:9" ht="57.0" customHeight="1">
      <c r="B23" s="123"/>
      <c r="C23" s="122"/>
      <c r="D23" s="128" t="inlineStr">
        <is>
          <r>
            <t xml:space="preserve">
매핑 데이터
</t>
          </r>
        </is>
      </c>
      <c r="E23" s="136"/>
      <c r="F23" s="127" t="inlineStr">
        <is>
          <r>
            <t xml:space="preserve">
매핑 데이터에 기반하여 최종 자극 파라미터가 생성되어야 한다.
</t>
          </r>
        </is>
      </c>
      <c r="G23" s="120" t="str">
        <f>"SW-FW-RID-"&amp;18</f>
        <v>SW-FW-RID-18</v>
      </c>
      <c r="H23" s="4"/>
      <c r="I23" s="4"/>
    </row>
    <row r="24" spans="2:9" ht="57.0" customHeight="1">
      <c r="B24" s="123"/>
      <c r="C24" s="126" t="inlineStr">
        <is>
          <r>
            <t xml:space="preserve">
사용자 인터페이스
(외부기 자체)
</t>
          </r>
        </is>
      </c>
      <c r="D24" s="128" t="inlineStr">
        <is>
          <r>
            <t xml:space="preserve">
입력
</t>
          </r>
        </is>
      </c>
      <c r="E24" s="136"/>
      <c r="F24" s="127" t="inlineStr">
        <is>
          <r>
            <t xml:space="preserve">
터치 센서의 입력에 따라 전원 모드와 사용자 제어를 처리한다.
</t>
          </r>
        </is>
      </c>
      <c r="G24" s="120" t="str">
        <f>"SW-FW-RID-"&amp;19</f>
        <v>SW-FW-RID-19</v>
      </c>
      <c r="H24" s="4"/>
      <c r="I24" s="4"/>
    </row>
    <row r="25" spans="2:9" ht="43.5" customHeight="1">
      <c r="B25" s="123"/>
      <c r="C25" s="119"/>
      <c r="D25" s="126" t="inlineStr">
        <is>
          <r>
            <t xml:space="preserve">
출력
</t>
          </r>
        </is>
      </c>
      <c r="E25" s="126" t="inlineStr">
        <is>
          <r>
            <t xml:space="preserve">
LED 출력
</t>
          </r>
        </is>
      </c>
      <c r="F25" s="127" t="inlineStr">
        <is>
          <r>
            <t xml:space="preserve">
외부기 동작 상태를 표시한다.
</t>
          </r>
        </is>
      </c>
      <c r="G25" s="120" t="str">
        <f>"SW-FW-RID-"&amp;20</f>
        <v>SW-FW-RID-20</v>
      </c>
      <c r="H25" s="6"/>
      <c r="I25" s="4"/>
    </row>
    <row r="26" spans="2:9" ht="43.5" customHeight="1">
      <c r="B26" s="123"/>
      <c r="C26" s="119"/>
      <c r="D26" s="119"/>
      <c r="E26" s="119"/>
      <c r="F26" s="127" t="inlineStr">
        <is>
          <r>
            <t xml:space="preserve">
전원 커넥터 연결 상태를 표시한다.
</t>
          </r>
        </is>
      </c>
      <c r="G26" s="120" t="str">
        <f>"SW-FW-RID-"&amp;21</f>
        <v>SW-FW-RID-21</v>
      </c>
      <c r="H26" s="4"/>
      <c r="I26" s="4"/>
    </row>
    <row r="27" spans="2:9" ht="43.5" customHeight="1">
      <c r="B27" s="123"/>
      <c r="C27" s="119"/>
      <c r="D27" s="119"/>
      <c r="E27" s="122"/>
      <c r="F27" s="127" t="inlineStr">
        <is>
          <r>
            <t xml:space="preserve">
배터리 저전압 상태를  표시한다.
</t>
          </r>
        </is>
      </c>
      <c r="G27" s="120" t="str">
        <f>"SW-FW-RID-"&amp;22</f>
        <v>SW-FW-RID-22</v>
      </c>
      <c r="H27" s="6"/>
      <c r="I27" s="4"/>
    </row>
    <row r="28" spans="2:9" ht="43.5" customHeight="1">
      <c r="B28" s="123"/>
      <c r="C28" s="122"/>
      <c r="D28" s="122"/>
      <c r="E28" s="162" t="inlineStr">
        <is>
          <r>
            <t xml:space="preserve">
자극 출력
</t>
          </r>
        </is>
      </c>
      <c r="F28" s="139" t="inlineStr">
        <is>
          <r>
            <t xml:space="preserve">
배터리 저전압 상태를 자극으로 출력한다.
</t>
          </r>
        </is>
      </c>
      <c r="G28" s="120" t="str">
        <f>"SW-FW-RID-"&amp;23</f>
        <v>SW-FW-RID-23</v>
      </c>
      <c r="H28" s="11"/>
      <c r="I28" s="4"/>
    </row>
    <row r="29" spans="2:9" ht="43.5" customHeight="1">
      <c r="B29" s="123"/>
      <c r="C29" s="126" t="inlineStr">
        <is>
          <r>
            <t xml:space="preserve">
사용자 인터페이스
(리모콘 앱 통신)
</t>
          </r>
        </is>
      </c>
      <c r="D29" s="133" t="inlineStr">
        <is>
          <r>
            <t xml:space="preserve">
입력(수신)
</t>
          </r>
        </is>
      </c>
      <c r="E29" s="137"/>
      <c r="F29" s="127" t="inlineStr">
        <is>
          <r>
            <t xml:space="preserve">
프로그램 변경하기
</t>
          </r>
        </is>
      </c>
      <c r="G29" s="120" t="str">
        <f>"SW-FW-RID-"&amp;24</f>
        <v>SW-FW-RID-24</v>
      </c>
      <c r="H29" s="6"/>
      <c r="I29" s="6"/>
    </row>
    <row r="30" spans="2:9" ht="43.5" customHeight="1">
      <c r="B30" s="123"/>
      <c r="C30" s="119"/>
      <c r="D30" s="129"/>
      <c r="E30" s="130"/>
      <c r="F30" s="127" t="inlineStr">
        <is>
          <r>
            <t xml:space="preserve">
오디오 볼륨 조절하기
</t>
          </r>
        </is>
      </c>
      <c r="G30" s="120" t="str">
        <f>"SW-FW-RID-"&amp;25</f>
        <v>SW-FW-RID-25</v>
      </c>
      <c r="H30" s="6"/>
      <c r="I30" s="6"/>
    </row>
    <row r="31" spans="2:9" ht="43.5" customHeight="1">
      <c r="B31" s="123"/>
      <c r="C31" s="119"/>
      <c r="D31" s="129"/>
      <c r="E31" s="130"/>
      <c r="F31" s="127" t="inlineStr">
        <is>
          <r>
            <t xml:space="preserve">
자극 볼륨 조절하기
</t>
          </r>
        </is>
      </c>
      <c r="G31" s="120" t="str">
        <f>"SW-FW-RID-"&amp;26</f>
        <v>SW-FW-RID-26</v>
      </c>
      <c r="H31" s="6"/>
      <c r="I31" s="6"/>
    </row>
    <row r="32" spans="2:9" ht="43.5" customHeight="1">
      <c r="B32" s="123"/>
      <c r="C32" s="119"/>
      <c r="D32" s="129"/>
      <c r="E32" s="130"/>
      <c r="F32" s="127" t="inlineStr">
        <is>
          <r>
            <t xml:space="preserve">
LED 알림 켜기/끄기
</t>
          </r>
        </is>
      </c>
      <c r="G32" s="120" t="str">
        <f>"SW-FW-RID-"&amp;27</f>
        <v>SW-FW-RID-27</v>
      </c>
      <c r="H32" s="6"/>
      <c r="I32" s="6"/>
    </row>
    <row r="33" spans="2:9" ht="43.5" customHeight="1">
      <c r="B33" s="123"/>
      <c r="C33" s="119"/>
      <c r="D33" s="140"/>
      <c r="E33" s="164"/>
      <c r="F33" s="127" t="inlineStr">
        <is>
          <r>
            <t xml:space="preserve">
자극 알림 켜기/끄기
</t>
          </r>
        </is>
      </c>
      <c r="G33" s="120" t="str">
        <f>"SW-FW-RID-"&amp;28</f>
        <v>SW-FW-RID-28</v>
      </c>
      <c r="H33" s="6"/>
      <c r="I33" s="6"/>
    </row>
    <row r="34" spans="2:9" ht="43.5" customHeight="1">
      <c r="B34" s="123"/>
      <c r="C34" s="119"/>
      <c r="D34" s="133" t="inlineStr">
        <is>
          <r>
            <t xml:space="preserve">
출력(송신)
</t>
          </r>
        </is>
      </c>
      <c r="E34" s="137"/>
      <c r="F34" s="127" t="inlineStr">
        <is>
          <r>
            <t xml:space="preserve">
배터리 상태
</t>
          </r>
        </is>
      </c>
      <c r="G34" s="120" t="str">
        <f>"SW-FW-RID-"&amp;29</f>
        <v>SW-FW-RID-29</v>
      </c>
      <c r="H34" s="6"/>
      <c r="I34" s="6"/>
    </row>
    <row r="35" spans="2:9" ht="43.5" customHeight="1">
      <c r="B35" s="123"/>
      <c r="C35" s="119"/>
      <c r="D35" s="129"/>
      <c r="E35" s="130"/>
      <c r="F35" s="127" t="inlineStr">
        <is>
          <r>
            <t xml:space="preserve">
선택된 맵 번호
</t>
          </r>
        </is>
      </c>
      <c r="G35" s="120" t="str">
        <f>"SW-FW-RID-"&amp;30</f>
        <v>SW-FW-RID-30</v>
      </c>
      <c r="H35" s="6"/>
      <c r="I35" s="6"/>
    </row>
    <row r="36" spans="2:9" ht="43.5" customHeight="1">
      <c r="B36" s="123"/>
      <c r="C36" s="119"/>
      <c r="D36" s="129"/>
      <c r="E36" s="130"/>
      <c r="F36" s="127" t="inlineStr">
        <is>
          <r>
            <t xml:space="preserve">
오디오 볼륨 단계
</t>
          </r>
        </is>
      </c>
      <c r="G36" s="120" t="str">
        <f>"SW-FW-RID-"&amp;31</f>
        <v>SW-FW-RID-31</v>
      </c>
      <c r="H36" s="6"/>
      <c r="I36" s="6"/>
    </row>
    <row r="37" spans="2:9" ht="43.5" customHeight="1">
      <c r="B37" s="123"/>
      <c r="C37" s="119"/>
      <c r="D37" s="129"/>
      <c r="E37" s="130"/>
      <c r="F37" s="127" t="inlineStr">
        <is>
          <r>
            <t xml:space="preserve">
자극 볼륨 단계
</t>
          </r>
        </is>
      </c>
      <c r="G37" s="120" t="str">
        <f>"SW-FW-RID-"&amp;32</f>
        <v>SW-FW-RID-32</v>
      </c>
      <c r="H37" s="6"/>
      <c r="I37" s="6"/>
    </row>
    <row r="38" spans="2:9" ht="43.5" customHeight="1">
      <c r="B38" s="123"/>
      <c r="C38" s="119"/>
      <c r="D38" s="129"/>
      <c r="E38" s="130"/>
      <c r="F38" s="127" t="inlineStr">
        <is>
          <r>
            <t xml:space="preserve">
LED 알림 설정 상태
</t>
          </r>
        </is>
      </c>
      <c r="G38" s="120" t="str">
        <f>"SW-FW-RID-"&amp;33</f>
        <v>SW-FW-RID-33</v>
      </c>
      <c r="H38" s="6"/>
      <c r="I38" s="6"/>
    </row>
    <row r="39" spans="2:9" ht="43.5" customHeight="1">
      <c r="B39" s="123"/>
      <c r="C39" s="122"/>
      <c r="D39" s="140"/>
      <c r="E39" s="164"/>
      <c r="F39" s="127" t="inlineStr">
        <is>
          <r>
            <t xml:space="preserve">
자극 알림 설정 상태
</t>
          </r>
        </is>
      </c>
      <c r="G39" s="120" t="str">
        <f>"SW-FW-RID-"&amp;34</f>
        <v>SW-FW-RID-34</v>
      </c>
      <c r="H39" s="6"/>
      <c r="I39" s="6"/>
    </row>
    <row r="40" spans="2:9" ht="43.5" customHeight="1">
      <c r="B40" s="123"/>
      <c r="C40" s="126" t="inlineStr">
        <is>
          <r>
            <t xml:space="preserve">
사용자 인터페이스
(매핑 앱 통신)
</t>
          </r>
        </is>
      </c>
      <c r="D40" s="133" t="inlineStr">
        <is>
          <r>
            <t xml:space="preserve">
입력(수신)
</t>
          </r>
        </is>
      </c>
      <c r="E40" s="137"/>
      <c r="F40" s="127" t="inlineStr">
        <is>
          <r>
            <t xml:space="preserve">
시스템 상태 확인
</t>
          </r>
        </is>
      </c>
      <c r="G40" s="120" t="str">
        <f>"SW-FW-RID-"&amp;35</f>
        <v>SW-FW-RID-35</v>
      </c>
      <c r="H40" s="6"/>
      <c r="I40" s="6"/>
    </row>
    <row r="41" spans="2:9" ht="43.5" customHeight="1">
      <c r="B41" s="123"/>
      <c r="C41" s="119"/>
      <c r="D41" s="129"/>
      <c r="E41" s="130"/>
      <c r="F41" s="127" t="inlineStr">
        <is>
          <r>
            <t xml:space="preserve">
특정 자극 출력
</t>
          </r>
        </is>
      </c>
      <c r="G41" s="120" t="str">
        <f>"SW-FW-RID-"&amp;36</f>
        <v>SW-FW-RID-36</v>
      </c>
      <c r="H41" s="6"/>
      <c r="I41" s="6"/>
    </row>
    <row r="42" spans="2:9" ht="43.5" customHeight="1">
      <c r="B42" s="123"/>
      <c r="C42" s="119"/>
      <c r="D42" s="140"/>
      <c r="E42" s="164"/>
      <c r="F42" s="127" t="inlineStr">
        <is>
          <r>
            <t xml:space="preserve">
실시간 자극 출력 진행
</t>
          </r>
        </is>
      </c>
      <c r="G42" s="120" t="str">
        <f>"SW-FW-RID-"&amp;37</f>
        <v>SW-FW-RID-37</v>
      </c>
      <c r="H42" s="6"/>
      <c r="I42" s="6"/>
    </row>
    <row r="43" spans="2:9" ht="43.5" customHeight="1">
      <c r="B43" s="123"/>
      <c r="C43" s="119"/>
      <c r="D43" s="133" t="inlineStr">
        <is>
          <r>
            <t xml:space="preserve">
출력(송신)
</t>
          </r>
        </is>
      </c>
      <c r="E43" s="137"/>
      <c r="F43" s="127" t="inlineStr">
        <is>
          <r>
            <t xml:space="preserve">
시스템 상태
</t>
          </r>
        </is>
      </c>
      <c r="G43" s="120" t="str">
        <f>"SW-FW-RID-"&amp;38</f>
        <v>SW-FW-RID-38</v>
      </c>
      <c r="H43" s="6"/>
      <c r="I43" s="6"/>
    </row>
    <row r="44" spans="2:9" ht="43.5" customHeight="1">
      <c r="B44" s="123"/>
      <c r="C44" s="119"/>
      <c r="D44" s="129"/>
      <c r="E44" s="130"/>
      <c r="F44" s="127" t="inlineStr">
        <is>
          <r>
            <t xml:space="preserve">
특정 자극 출력 결과
</t>
          </r>
        </is>
      </c>
      <c r="G44" s="120" t="str">
        <f>"SW-FW-RID-"&amp;39</f>
        <v>SW-FW-RID-39</v>
      </c>
      <c r="H44" s="6"/>
      <c r="I44" s="6"/>
    </row>
    <row r="45" spans="2:9" ht="43.5" customHeight="1">
      <c r="B45" s="123"/>
      <c r="C45" s="122"/>
      <c r="D45" s="140"/>
      <c r="E45" s="164"/>
      <c r="F45" s="127" t="inlineStr">
        <is>
          <r>
            <t xml:space="preserve">
실시간 자극 진행 상태
</t>
          </r>
        </is>
      </c>
      <c r="G45" s="120" t="str">
        <f>"SW-FW-RID-"&amp;40</f>
        <v>SW-FW-RID-40</v>
      </c>
      <c r="H45" s="6"/>
      <c r="I45" s="6"/>
    </row>
    <row r="46" spans="2:9" ht="57.0" customHeight="1">
      <c r="B46" s="123"/>
      <c r="C46" s="126" t="inlineStr">
        <is>
          <r>
            <t xml:space="preserve">
기기 인터페이스
</t>
          </r>
        </is>
      </c>
      <c r="D46" s="128" t="inlineStr">
        <is>
          <r>
            <t xml:space="preserve">
FPGA
</t>
          </r>
        </is>
      </c>
      <c r="E46" s="136"/>
      <c r="F46" s="127" t="inlineStr">
        <is>
          <r>
            <t xml:space="preserve">
I2C 프로토콜을 사용하여 FPGA와 데이터 송/수신이 가능해야한다.
</t>
          </r>
        </is>
      </c>
      <c r="G46" s="120" t="str">
        <f>"SW-FW-RID-"&amp;41</f>
        <v>SW-FW-RID-41</v>
      </c>
      <c r="H46" s="4"/>
      <c r="I46" s="4"/>
    </row>
    <row r="47" spans="2:9" ht="57.0" customHeight="1">
      <c r="B47" s="123"/>
      <c r="C47" s="119"/>
      <c r="D47" s="128" t="inlineStr">
        <is>
          <r>
            <t xml:space="preserve">
센서
</t>
          </r>
        </is>
      </c>
      <c r="E47" s="136"/>
      <c r="F47" s="127" t="inlineStr">
        <is>
          <r>
            <t xml:space="preserve">
I2C 프로토콜을 사용하여 터치 센서와 데이터를 송수신할 수 있어야 한다.
</t>
          </r>
        </is>
      </c>
      <c r="G47" s="120" t="str">
        <f>"SW-FW-RID-"&amp;42</f>
        <v>SW-FW-RID-42</v>
      </c>
      <c r="H47" s="4"/>
      <c r="I47" s="4"/>
    </row>
    <row r="48" spans="2:9" ht="57.0" customHeight="1">
      <c r="B48" s="154"/>
      <c r="C48" s="122"/>
      <c r="D48" s="128" t="inlineStr">
        <is>
          <r>
            <t xml:space="preserve">
PMIC
</t>
          </r>
        </is>
      </c>
      <c r="E48" s="136"/>
      <c r="F48" s="127" t="inlineStr">
        <is>
          <r>
            <t xml:space="preserve">
I2C를 프로토콜을 사용하여 PMIC의 조정이 가능해야한다.
</t>
          </r>
        </is>
      </c>
      <c r="G48" s="120" t="str">
        <f>"SW-FW-RID-"&amp;43</f>
        <v>SW-FW-RID-43</v>
      </c>
      <c r="H48" s="4"/>
      <c r="I48" s="4"/>
    </row>
    <row r="49" spans="2:9" ht="126.0" customHeight="1">
      <c r="B49" s="173" t="inlineStr">
        <is>
          <r>
            <t xml:space="preserve">
c) 소프트웨어 시스템과 다른 소프트웨어 사이의 연계성
(interfaces between the SOFTWARE SYSTEM and other SYSTEMS)
</t>
          </r>
        </is>
      </c>
      <c r="C49" s="128" t="inlineStr">
        <is>
          <r>
            <t xml:space="preserve">
리모콘
</t>
          </r>
        </is>
      </c>
      <c r="D49" s="151"/>
      <c r="E49" s="136"/>
      <c r="F49" s="132" t="inlineStr">
        <is>
          <r>
            <t xml:space="preserve">
리모콘 앱이 실행되는 스마트폰과 블루투스를 사용하여 데이터 통신이 가능해야한다.
</t>
          </r>
          <r>
            <rPr>
              <rFont val="맑은 고딕"/>
              <sz val="12"/>
              <color rgb="FFC00000"/>
              <u val="single"/>
            </rPr>
            <t xml:space="preserve">[QCC 자료 입력] 리모콘의 무선 명령/응답을 중계하는 QCC 내부 모듈/유닛의 설계 연결을 추가한다.</t>
          </r>
          <r>
            <t xml:space="preserve">
</t>
          </r>
        </is>
      </c>
      <c r="G49" s="120" t="str">
        <f>"SW-FW-RID-"&amp;44</f>
        <v>SW-FW-RID-44</v>
      </c>
      <c r="H49" s="120" t="inlineStr">
        <is>
          <r>
            <t xml:space="preserve">
SYS-RID-SP-FW-13
</t>
          </r>
        </is>
      </c>
      <c r="I49" s="4"/>
    </row>
    <row r="50" spans="2:9" ht="126.0" customHeight="1">
      <c r="B50" s="123"/>
      <c r="C50" s="128" t="inlineStr">
        <is>
          <r>
            <t xml:space="preserve">
매핑
</t>
          </r>
        </is>
      </c>
      <c r="D50" s="151"/>
      <c r="E50" s="136"/>
      <c r="F50" s="177" t="inlineStr">
        <is>
          <r>
            <t xml:space="preserve">
매핑 프로그램이 실행되는 기기와 블루투스를 사용하여 데이터 통신이 가능해야 한다.
</t>
          </r>
          <r>
            <rPr>
              <rFont val="맑은 고딕"/>
              <sz val="12"/>
              <color rgb="FFC00000"/>
              <u val="single"/>
            </rPr>
            <t xml:space="preserve">[QCC 자료 입력] 매핑의 무선 명령/응답을 중계하는 QCC 내부 모듈/유닛의 설계 연결을 추가한다.</t>
          </r>
          <r>
            <t xml:space="preserve">
</t>
          </r>
        </is>
      </c>
      <c r="G50" s="120" t="str">
        <f>"SW-FW-RID-"&amp;45</f>
        <v>SW-FW-RID-45</v>
      </c>
      <c r="H50" s="120" t="inlineStr">
        <is>
          <r>
            <t xml:space="preserve">
SYS-RID-SP-FW-14
</t>
          </r>
        </is>
      </c>
      <c r="I50" s="4"/>
    </row>
    <row r="51" spans="2:9" ht="112.5" customHeight="1">
      <c r="B51" s="123"/>
      <c r="C51" s="152" t="inlineStr">
        <is>
          <r>
            <t xml:space="preserve">
Bluetooth
</t>
          </r>
        </is>
      </c>
      <c r="D51" s="135"/>
      <c r="E51" s="146"/>
      <c r="F51" s="149" t="inlineStr">
        <is>
          <r>
            <t xml:space="preserve">
Bluetooth Classic 오디오 통신
</t>
          </r>
          <r>
            <rPr>
              <rFont val="맑은 고딕"/>
              <sz val="12"/>
              <color rgb="FFC00000"/>
              <u val="single"/>
            </rPr>
            <t xml:space="preserve">[QCC 자료 입력] Bluetooth Classic 오디오 공급을 담당하는 QCC 내부 모듈/유닛의 설계 연결을 추가한다.</t>
          </r>
          <r>
            <t xml:space="preserve">
</t>
          </r>
        </is>
      </c>
      <c r="G51" s="120" t="str">
        <f>"SW-FW-RID-"&amp;69</f>
        <v>SW-FW-RID-69</v>
      </c>
      <c r="H51" s="120" t="inlineStr">
        <is>
          <r>
            <t xml:space="preserve">
SYS-RID-SP-FW-15
</t>
          </r>
        </is>
      </c>
      <c r="I51" s="4"/>
    </row>
    <row r="52" spans="2:9" ht="112.5" customHeight="1">
      <c r="B52" s="154"/>
      <c r="C52" s="163"/>
      <c r="D52" s="141"/>
      <c r="E52" s="166"/>
      <c r="F52" s="168" t="inlineStr">
        <is>
          <r>
            <t xml:space="preserve">
BLE data 통신
</t>
          </r>
          <r>
            <rPr>
              <rFont val="맑은 고딕"/>
              <sz val="12"/>
              <color rgb="FFC00000"/>
              <u val="single"/>
            </rPr>
            <t xml:space="preserve">[QCC 자료 입력] BLE 명령/응답을 중계하는 QCC 내부 모듈/유닛의 설계 연결을 추가한다.</t>
          </r>
          <r>
            <t xml:space="preserve">
</t>
          </r>
        </is>
      </c>
      <c r="G52" s="120" t="str">
        <f>"SW-FW-RID-"&amp;70</f>
        <v>SW-FW-RID-70</v>
      </c>
      <c r="H52" s="120" t="inlineStr">
        <is>
          <r>
            <t xml:space="preserve">
SYS-RID-SP-FW-16
</t>
          </r>
        </is>
      </c>
      <c r="I52" s="4"/>
    </row>
    <row r="53" spans="2:9" ht="97.5" customHeight="1">
      <c r="B53" s="174" t="inlineStr">
        <is>
          <r>
            <t xml:space="preserve">
d) 소프트웨어 구동 경보, 경고 및 운영자 메시지
(software-driven alarms, warnings, and operator messages)
</t>
          </r>
        </is>
      </c>
      <c r="C53" s="134" t="inlineStr">
        <is>
          <r>
            <t xml:space="preserve">
NA
</t>
          </r>
        </is>
      </c>
      <c r="D53" s="145"/>
      <c r="E53" s="170"/>
      <c r="F53" s="7"/>
      <c r="G53" s="4"/>
      <c r="H53" s="4"/>
      <c r="I53" s="4"/>
    </row>
    <row r="54" spans="2:9" ht="72.95" customHeight="1">
      <c r="B54" s="173" t="inlineStr">
        <is>
          <r>
            <t xml:space="preserve">
e) 보안 요구사항
(SECURITY requirements)
</t>
          </r>
        </is>
      </c>
      <c r="C54" s="133" t="inlineStr">
        <is>
          <r>
            <t xml:space="preserve">
사이버 보안
</t>
          </r>
        </is>
      </c>
      <c r="D54" s="184"/>
      <c r="E54" s="137"/>
      <c r="F54" s="127" t="inlineStr">
        <is>
          <r>
            <t xml:space="preserve">
등록된 내부이식장치와만 근접 무선 통신을 연결한다.
</t>
          </r>
        </is>
      </c>
      <c r="G54" s="120" t="str">
        <f>"SW-FW-RID-"&amp;46</f>
        <v>SW-FW-RID-46</v>
      </c>
      <c r="H54" s="190" t="inlineStr">
        <is>
          <r>
            <t xml:space="preserve">
SYS-RID-SP-FW-17
</t>
          </r>
        </is>
      </c>
      <c r="I54" s="4"/>
    </row>
    <row r="55" spans="2:9" ht="126.0" customHeight="1">
      <c r="B55" s="123"/>
      <c r="C55" s="129"/>
      <c r="D55" s="92"/>
      <c r="E55" s="130"/>
      <c r="F55" s="144" t="inlineStr">
        <is>
          <r>
            <t xml:space="preserve">
일정시간 동안 제어 명령이 수신되지 않으면, BLE 연결을 해제한다.
</t>
          </r>
          <r>
            <rPr>
              <rFont val="맑은 고딕"/>
              <sz val="12"/>
              <color rgb="FFC00000"/>
              <u val="single"/>
            </rPr>
            <t xml:space="preserve">[QCC 자료 입력] 무조작 판단, 연결 종료 시간과 해제 동작의 QCC 설계/검증 자료를 입력한다.</t>
          </r>
          <r>
            <t xml:space="preserve">
</t>
          </r>
        </is>
      </c>
      <c r="G55" s="120" t="str">
        <f>"SW-FW-RID-"&amp;47</f>
        <v>SW-FW-RID-47</v>
      </c>
      <c r="H55" s="120" t="inlineStr">
        <is>
          <r>
            <t xml:space="preserve">
SYS-RID-SP-FW-22
</t>
          </r>
        </is>
      </c>
      <c r="I55" s="4"/>
    </row>
    <row r="56" spans="2:9" ht="166.5" customHeight="1">
      <c r="B56" s="123"/>
      <c r="C56" s="129"/>
      <c r="D56" s="92"/>
      <c r="E56" s="130"/>
      <c r="F56" s="150" t="inlineStr">
        <is>
          <r>
            <t xml:space="preserve">
1. BLE Pairing 기능을  사용하여 인가된 장치와 연결
2. BLE 연결 후 별도의 자체 인증 방식, CRA(Challenge-Response Authentication),을 사용하여 적법한 장치를 확인
</t>
          </r>
          <r>
            <rPr>
              <rFont val="맑은 고딕"/>
              <sz val="12"/>
              <color rgb="FFC00000"/>
              <u val="single"/>
            </rPr>
            <t xml:space="preserve">[QCC 자료 입력] 페어링과 CRA 인증의 QCC 설계 및 조건별 검증 자료를 입력한다.</t>
          </r>
          <r>
            <t xml:space="preserve">
</t>
          </r>
        </is>
      </c>
      <c r="G56" s="120" t="str">
        <f>"SW-FW-RID-"&amp;48</f>
        <v>SW-FW-RID-48</v>
      </c>
      <c r="H56" s="120" t="inlineStr">
        <is>
          <r>
            <t xml:space="preserve">
SYS-RID-SP-FW-18
</t>
          </r>
        </is>
      </c>
      <c r="I56" s="4"/>
    </row>
    <row r="57" spans="2:9" ht="180.0" customHeight="1">
      <c r="B57" s="123"/>
      <c r="C57" s="129"/>
      <c r="D57" s="92"/>
      <c r="E57" s="130"/>
      <c r="F57" s="186" t="inlineStr">
        <is>
          <r>
            <t xml:space="preserve">
BLE 페어링이 완료된 상태에서 데이터를 송/수신한다. - 무결성
AES-CCM (Counter with CBC-MAC)을 사용함으로써 기밀성, 무결성, 인증  세 가지의 기능이 제공됨
(Bluetooth Core specification LE Link Layer 참조)
</t>
          </r>
          <r>
            <rPr>
              <rFont val="맑은 고딕"/>
              <sz val="12"/>
              <color rgb="FFC00000"/>
              <u val="single"/>
            </rPr>
            <t xml:space="preserve">[QCC 자료 입력] 무선 데이터의 암호화/무결성 보호 방식과 페어링 전 차단의 QCC 자료를 입력한다.</t>
          </r>
          <r>
            <t xml:space="preserve">
</t>
          </r>
        </is>
      </c>
      <c r="G57" s="120" t="str">
        <f>"SW-FW-RID-"&amp;49</f>
        <v>SW-FW-RID-49</v>
      </c>
      <c r="H57" s="120" t="inlineStr">
        <is>
          <r>
            <t xml:space="preserve">
SYS-RID-SP-FW-26
</t>
          </r>
        </is>
      </c>
      <c r="I57" s="4"/>
    </row>
    <row r="58" spans="2:9" ht="57.95" customHeight="1">
      <c r="B58" s="123"/>
      <c r="C58" s="129"/>
      <c r="D58" s="92"/>
      <c r="E58" s="130"/>
      <c r="F58" s="127" t="inlineStr">
        <is>
          <r>
            <t xml:space="preserve">
감사기록을 생성한다.
</t>
          </r>
        </is>
      </c>
      <c r="G58" s="120" t="str">
        <f>"SW-FW-RID-"&amp;50</f>
        <v>SW-FW-RID-50</v>
      </c>
      <c r="H58" s="120" t="inlineStr">
        <is>
          <r>
            <t xml:space="preserve">
SYS-RID-SP-FW-23
</t>
          </r>
        </is>
      </c>
      <c r="I58" s="4"/>
    </row>
    <row r="59" spans="2:9" ht="57.95" customHeight="1">
      <c r="B59" s="123"/>
      <c r="C59" s="129"/>
      <c r="D59" s="92"/>
      <c r="E59" s="130"/>
      <c r="F59" s="127" t="inlineStr">
        <is>
          <r>
            <t xml:space="preserve">
설정파일을 읽을 때, 파일의 무결성을 확인한다.
</t>
          </r>
        </is>
      </c>
      <c r="G59" s="120" t="str">
        <f>"SW-FW-RID-"&amp;51</f>
        <v>SW-FW-RID-51</v>
      </c>
      <c r="H59" s="120" t="inlineStr">
        <is>
          <r>
            <t xml:space="preserve">
SYS-RID-SP-FW-27
</t>
          </r>
        </is>
      </c>
      <c r="I59" s="4"/>
    </row>
    <row r="60" spans="2:9" ht="166.5" customHeight="1">
      <c r="B60" s="123"/>
      <c r="C60" s="129"/>
      <c r="D60" s="92"/>
      <c r="E60" s="130"/>
      <c r="F60" s="185" t="inlineStr">
        <is>
          <r>
            <t xml:space="preserve">
1. CRA 인증에서 기기제어를 위한 통신과 매핑을 의한 통신을 구분하여 별도의  인증 키와 인증방식을 사용
2. CRA 인증에 사용되는 각 키의 크기는 16 bytes (128 bits)이므로 충분히 안전한 보안을 제공한다.
</t>
          </r>
          <r>
            <rPr>
              <rFont val="맑은 고딕"/>
              <sz val="12"/>
              <color rgb="FFC00000"/>
              <u val="single"/>
            </rPr>
            <t xml:space="preserve">[QCC 자료 입력] 리모콘/매핑의 인증키 구분, 키 관리와 인증 전후 허용 동작의 QCC 자료를 입력한다.</t>
          </r>
          <r>
            <t xml:space="preserve">
</t>
          </r>
        </is>
      </c>
      <c r="G60" s="120" t="str">
        <f>"SW-FW-RID-"&amp;52</f>
        <v>SW-FW-RID-52</v>
      </c>
      <c r="H60" s="120" t="inlineStr">
        <is>
          <r>
            <t xml:space="preserve">
SYS-RID-SP-FW-19
</t>
          </r>
        </is>
      </c>
      <c r="I60" s="4"/>
    </row>
    <row r="61" spans="2:9" ht="143.25" customHeight="1">
      <c r="B61" s="123"/>
      <c r="C61" s="129"/>
      <c r="D61" s="92"/>
      <c r="E61" s="130"/>
      <c r="F61" s="127" t="inlineStr">
        <is>
          <r>
            <t xml:space="preserve">
소프트웨어 업데이트가 필요할 경우 기존 제품을 회수하고 업데이트된 제품을 생산하여 교체한다.
</t>
          </r>
          <r>
            <rPr>
              <rFont val="맑은 고딕"/>
              <sz val="12"/>
              <color rgb="FF7030A0"/>
              <u val="single"/>
            </rPr>
            <t xml:space="preserve">[QCC/E8300 자료 입력] QCC의 인증/암호화 전송과 E8300의 OTA 수신/저장/재기동 보호 자료를 연결한다. 제품 회수/교체 절차와 OTA의 적용 범위도 확인한다.</t>
          </r>
          <r>
            <t xml:space="preserve">
</t>
          </r>
        </is>
      </c>
      <c r="G61" s="120" t="str">
        <f>"SW-FW-RID-"&amp;53</f>
        <v>SW-FW-RID-53</v>
      </c>
      <c r="H61" s="120" t="inlineStr">
        <is>
          <r>
            <t xml:space="preserve">
SYS-RID-SP-FW-30
</t>
          </r>
        </is>
      </c>
      <c r="I61" s="4"/>
    </row>
    <row r="62" spans="2:9" ht="72.95" customHeight="1">
      <c r="B62" s="123"/>
      <c r="C62" s="129"/>
      <c r="D62" s="92"/>
      <c r="E62" s="130"/>
      <c r="F62" s="127" t="inlineStr">
        <is>
          <r>
            <t xml:space="preserve">
품질관리시스템 절차에 따라, 인가된 인원이 펌웨어를 생성하여 배포한다.
</t>
          </r>
        </is>
      </c>
      <c r="G62" s="120" t="str">
        <f>"SW-FW-RID-"&amp;81</f>
        <v>SW-FW-RID-81</v>
      </c>
      <c r="H62" s="120" t="inlineStr">
        <is>
          <r>
            <t xml:space="preserve">
SYS-RID-SP-FW-31
</t>
          </r>
        </is>
      </c>
      <c r="I62" s="4"/>
    </row>
    <row r="63" spans="2:9" ht="98.45" customHeight="1">
      <c r="B63" s="123"/>
      <c r="C63" s="129"/>
      <c r="D63" s="92"/>
      <c r="E63" s="130"/>
      <c r="F63" s="127" t="inlineStr">
        <is>
          <r>
            <t xml:space="preserve">
1. 칩셋에서 부팅 과정에서 실행파일의 CRC 체크 기능 활성화
2. 칩셋에서 제공하는 무결성 방식을 사용하여 검사
</t>
          </r>
        </is>
      </c>
      <c r="G63" s="120" t="str">
        <f>"SW-FW-RID-"&amp;54</f>
        <v>SW-FW-RID-54</v>
      </c>
      <c r="H63" s="120" t="inlineStr">
        <is>
          <r>
            <t xml:space="preserve">
SYS-RID-SP-FW-32
</t>
          </r>
        </is>
      </c>
      <c r="I63" s="4"/>
    </row>
    <row r="64" spans="2:9" ht="126.0" customHeight="1">
      <c r="B64" s="123"/>
      <c r="C64" s="129"/>
      <c r="D64" s="92"/>
      <c r="E64" s="130"/>
      <c r="F64" s="180" t="inlineStr">
        <is>
          <r>
            <t xml:space="preserve">
- CRA 인증 결과에서 인증정보를 유추할 만한 피드백이 없음: 성공, 실패, 진행중, 타임아웃
</t>
          </r>
          <r>
            <rPr>
              <rFont val="맑은 고딕"/>
              <sz val="12"/>
              <color rgb="FFC00000"/>
              <u val="single"/>
            </rPr>
            <t xml:space="preserve">[QCC 자료 입력] 인증 상태별 응답과 인증정보 미노출을 확인한 QCC 자료를 입력한다.</t>
          </r>
          <r>
            <t xml:space="preserve">
</t>
          </r>
        </is>
      </c>
      <c r="G64" s="120" t="str">
        <f>"SW-FW-RID-"&amp;71</f>
        <v>SW-FW-RID-71</v>
      </c>
      <c r="H64" s="120" t="inlineStr">
        <is>
          <r>
            <t xml:space="preserve">
SYS-RID-SP-FW-20
</t>
          </r>
        </is>
      </c>
      <c r="I64" s="4"/>
    </row>
    <row r="65" spans="2:9" ht="126.0" customHeight="1">
      <c r="B65" s="123"/>
      <c r="C65" s="129"/>
      <c r="D65" s="92"/>
      <c r="E65" s="130"/>
      <c r="F65" s="178" t="inlineStr">
        <is>
          <r>
            <t xml:space="preserve">
CRA 인증 5회 연속 실패 시, 일정 시간동안 연결을 제한한다.
</t>
          </r>
          <r>
            <rPr>
              <rFont val="맑은 고딕"/>
              <sz val="12"/>
              <color rgb="FFC00000"/>
              <u val="single"/>
            </rPr>
            <t xml:space="preserve">[QCC 자료 입력] 인증 실패 횟수, 연결 제한 시간과 해제 조건의 QCC 설계/검증 자료를 입력한다.</t>
          </r>
          <r>
            <t xml:space="preserve">
</t>
          </r>
        </is>
      </c>
      <c r="G65" s="120" t="str">
        <f>"SW-FW-RID-"&amp;72</f>
        <v>SW-FW-RID-72</v>
      </c>
      <c r="H65" s="120" t="inlineStr">
        <is>
          <r>
            <t xml:space="preserve">
SYS-RID-SP-FW-21
</t>
          </r>
        </is>
      </c>
      <c r="I65" s="4"/>
    </row>
    <row r="66" spans="2:9" ht="95.1" customHeight="1">
      <c r="B66" s="123"/>
      <c r="C66" s="129"/>
      <c r="D66" s="92"/>
      <c r="E66" s="130"/>
      <c r="F66" s="139" t="inlineStr">
        <is>
          <r>
            <t xml:space="preserve">
감사기록 생성 실패를 오류 정보에 포함한다.
</t>
          </r>
        </is>
      </c>
      <c r="G66" s="120" t="str">
        <f>"SW-FW-RID-"&amp;73</f>
        <v>SW-FW-RID-73</v>
      </c>
      <c r="H66" s="120" t="inlineStr">
        <is>
          <r>
            <t xml:space="preserve">
SYS-RID-SP-FW-24
</t>
          </r>
        </is>
      </c>
      <c r="I66" s="4"/>
    </row>
    <row r="67" spans="2:9" ht="95.1" customHeight="1">
      <c r="B67" s="123"/>
      <c r="C67" s="129"/>
      <c r="D67" s="92"/>
      <c r="E67" s="130"/>
      <c r="F67" s="139" t="inlineStr">
        <is>
          <r>
            <t xml:space="preserve">
감사기록은 타임 스탬프를 포함한다.
</t>
          </r>
        </is>
      </c>
      <c r="G67" s="120" t="str">
        <f>"SW-FW-RID-"&amp;74</f>
        <v>SW-FW-RID-74</v>
      </c>
      <c r="H67" s="120" t="inlineStr">
        <is>
          <r>
            <t xml:space="preserve">
SYS-RID-SP-FW-25
</t>
          </r>
        </is>
      </c>
      <c r="I67" s="4"/>
    </row>
    <row r="68" spans="2:9" ht="95.1" customHeight="1">
      <c r="B68" s="123"/>
      <c r="C68" s="129"/>
      <c r="D68" s="92"/>
      <c r="E68" s="130"/>
      <c r="F68" s="139" t="inlineStr">
        <is>
          <r>
            <t xml:space="preserve">
오류 메시지에 보안과 관련되 정보를 직접 표시하지 않는다.
</t>
          </r>
        </is>
      </c>
      <c r="G68" s="120" t="str">
        <f>"SW-FW-RID-"&amp;75</f>
        <v>SW-FW-RID-75</v>
      </c>
      <c r="H68" s="120" t="inlineStr">
        <is>
          <r>
            <t xml:space="preserve">
SYS-RID-SP-FW-29
</t>
          </r>
        </is>
      </c>
      <c r="I68" s="4"/>
    </row>
    <row r="69" spans="2:9" ht="139.5" customHeight="1">
      <c r="B69" s="123"/>
      <c r="C69" s="129"/>
      <c r="D69" s="92"/>
      <c r="E69" s="130"/>
      <c r="F69" s="172" t="inlineStr">
        <is>
          <r>
            <t xml:space="preserve">
1. 데이터의 송수신은 BLE 페어링과 CRA 인증 이후에 활성화 함. - 기밀화
2. CRA 인증 키들은 생산시에 암호화하여 저장한다.
</t>
          </r>
          <r>
            <rPr>
              <rFont val="맑은 고딕"/>
              <sz val="12"/>
              <color rgb="FFC00000"/>
              <u val="single"/>
            </rPr>
            <t xml:space="preserve">[QCC 자료 입력] 인증 전후 송수신/OTA 전송의 보호와 생산 시 인증키 암호화 저장의 QCC 자료를 입력한다.</t>
          </r>
          <r>
            <t xml:space="preserve">
</t>
          </r>
        </is>
      </c>
      <c r="G69" s="120" t="str">
        <f>"SW-FW-RID-"&amp;76</f>
        <v>SW-FW-RID-76</v>
      </c>
      <c r="H69" s="120" t="inlineStr">
        <is>
          <r>
            <t xml:space="preserve">
SYS-RID-SP-FW-33
</t>
          </r>
        </is>
      </c>
      <c r="I69" s="4"/>
    </row>
    <row r="70" spans="2:9" ht="95.1" customHeight="1">
      <c r="B70" s="123"/>
      <c r="C70" s="129"/>
      <c r="D70" s="92"/>
      <c r="E70" s="130"/>
      <c r="F70" s="139" t="inlineStr">
        <is>
          <r>
            <t xml:space="preserve">
내부장치 제조번호, 사용자 이니셜 값은 암호화 하여 저장한다.
</t>
          </r>
        </is>
      </c>
      <c r="G70" s="120" t="str">
        <f>"SW-FW-RID-"&amp;77</f>
        <v>SW-FW-RID-77</v>
      </c>
      <c r="H70" s="120" t="inlineStr">
        <is>
          <r>
            <t xml:space="preserve">
SYS-RID-SP-FW-34
</t>
          </r>
        </is>
      </c>
      <c r="I70" s="4"/>
    </row>
    <row r="71" spans="2:9" ht="143.25" customHeight="1">
      <c r="B71" s="123"/>
      <c r="C71" s="129"/>
      <c r="D71" s="92"/>
      <c r="E71" s="130"/>
      <c r="F71" s="139" t="inlineStr">
        <is>
          <r>
            <t xml:space="preserve">
무결성, 암호화에 사용되는 알고리즘은 사이버보안 규격에서 권고하는 알고리즘을 사용한다.
</t>
          </r>
          <r>
            <rPr>
              <rFont val="맑은 고딕"/>
              <sz val="12"/>
              <color rgb="FF7030A0"/>
              <u val="single"/>
            </rPr>
            <t xml:space="preserve">[QCC/E8300 자료 입력] QCC 통신/인증키 보호 방식과 E8300 AES 저장/부트 보호 방식의 사용 목적 및 키 관리 자료를 함께 입력한다.</t>
          </r>
          <r>
            <t xml:space="preserve">
</t>
          </r>
        </is>
      </c>
      <c r="G71" s="120" t="str">
        <f>"SW-FW-RID-"&amp;78</f>
        <v>SW-FW-RID-78</v>
      </c>
      <c r="H71" s="120" t="inlineStr">
        <is>
          <r>
            <t xml:space="preserve">
SYS-RID-SP-FW-35
</t>
          </r>
        </is>
      </c>
      <c r="I71" s="4"/>
    </row>
    <row r="72" spans="2:9" ht="120.95" customHeight="1">
      <c r="B72" s="123"/>
      <c r="C72" s="129"/>
      <c r="D72" s="92"/>
      <c r="E72" s="130"/>
      <c r="F72" s="139" t="inlineStr">
        <is>
          <r>
            <t xml:space="preserve">
외부에서 로그 정보의 접근은 인가자만 가능해야 하며, 외부 전송을 할경우 기밀성이 보호되어야 한다.
</t>
          </r>
        </is>
      </c>
      <c r="G72" s="120" t="str">
        <f>"SW-FW-RID-"&amp;79</f>
        <v>SW-FW-RID-79</v>
      </c>
      <c r="H72" s="120" t="inlineStr">
        <is>
          <r>
            <t xml:space="preserve">
SYS-RID-SP-FW-36
</t>
          </r>
        </is>
      </c>
      <c r="I72" s="4"/>
    </row>
    <row r="73" spans="2:9" ht="95.1" customHeight="1">
      <c r="B73" s="154"/>
      <c r="C73" s="140"/>
      <c r="D73" s="189"/>
      <c r="E73" s="164"/>
      <c r="F73" s="139" t="inlineStr">
        <is>
          <r>
            <t xml:space="preserve">
설정파일의 무결성이 확인되지 않으면, 설정파일을 공장초기화 한다.
</t>
          </r>
        </is>
      </c>
      <c r="G73" s="120" t="str">
        <f>"SW-FW-RID-"&amp;80</f>
        <v>SW-FW-RID-80</v>
      </c>
      <c r="H73" s="120" t="inlineStr">
        <is>
          <r>
            <t xml:space="preserve">
SYS-RID-SP-FW-38
</t>
          </r>
        </is>
      </c>
      <c r="I73" s="4"/>
    </row>
    <row r="74" spans="2:9" ht="125.1" customHeight="1">
      <c r="B74" s="118" t="inlineStr">
        <is>
          <r>
            <t xml:space="preserve">
f) 사람에 의해 발생하는 오류와 훈련에 민감한 사용성 공학 요구사항
(usability engineering requirements that are sensitive to human errors and training)
</t>
          </r>
        </is>
      </c>
      <c r="C74" s="134" t="inlineStr">
        <is>
          <r>
            <t xml:space="preserve">
주의부족, 기억력 감퇴
</t>
          </r>
        </is>
      </c>
      <c r="D74" s="145"/>
      <c r="E74" s="170"/>
      <c r="F74" s="139" t="inlineStr">
        <is>
          <r>
            <t xml:space="preserve">
배터리 저전압을 주기적으로 반복하여 자극 출력과 LED로 알린다.
</t>
          </r>
        </is>
      </c>
      <c r="G74" s="120" t="str">
        <f>"SW-FW-RID-"&amp;55</f>
        <v>SW-FW-RID-55</v>
      </c>
      <c r="H74" s="120" t="inlineStr">
        <is>
          <r>
            <t xml:space="preserve">
SYS-RID-SP-FW-48
</t>
          </r>
        </is>
      </c>
      <c r="I74" s="4"/>
    </row>
    <row r="75" spans="2:9" ht="62.25" customHeight="1">
      <c r="B75" s="165"/>
      <c r="C75" s="134" t="inlineStr">
        <is>
          <r>
            <t xml:space="preserve">
중복실수
</t>
          </r>
        </is>
      </c>
      <c r="D75" s="145"/>
      <c r="E75" s="170"/>
      <c r="F75" s="139" t="inlineStr">
        <is>
          <r>
            <t xml:space="preserve">
자극 볼륨은 단계적으로 증가하도록 설계한다.(soft increase)
</t>
          </r>
        </is>
      </c>
      <c r="G75" s="120" t="str">
        <f>"SW-FW-RID-"&amp;56</f>
        <v>SW-FW-RID-56</v>
      </c>
      <c r="H75" s="120" t="inlineStr">
        <is>
          <r>
            <t xml:space="preserve">
SYS-RID-SP-FW-47
</t>
          </r>
        </is>
      </c>
      <c r="I75" s="4"/>
    </row>
    <row r="76" spans="2:9" ht="86.1" customHeight="1">
      <c r="B76" s="121" t="inlineStr">
        <is>
          <r>
            <t xml:space="preserve">
g) 데이터 정의 및 데이터 베이스 요구사항
(data definition and database requirements)
</t>
          </r>
        </is>
      </c>
      <c r="C76" s="134" t="inlineStr">
        <is>
          <r>
            <t xml:space="preserve">
NA
</t>
          </r>
        </is>
      </c>
      <c r="D76" s="145"/>
      <c r="E76" s="170"/>
      <c r="F76" s="7"/>
      <c r="G76" s="4"/>
      <c r="H76" s="4"/>
      <c r="I76" s="4"/>
    </row>
    <row r="77" spans="2:9" ht="192" customHeight="1">
      <c r="B77" s="161" t="inlineStr">
        <is>
          <r>
            <t xml:space="preserve">
h) 운영 및 유지보수 현장에 인도된 의료기기 소프트웨어의 설치 및 인수 요구사항
(installation and acceptance requirements of the delivered MEDICAL DEVICE SOFTWARE at the operation and maintenance site or sites)
</t>
          </r>
        </is>
      </c>
      <c r="C77" s="134" t="inlineStr">
        <is>
          <r>
            <t xml:space="preserve">
NA
</t>
          </r>
        </is>
      </c>
      <c r="D77" s="145"/>
      <c r="E77" s="170"/>
      <c r="F77" s="7"/>
      <c r="G77" s="4"/>
      <c r="H77" s="4"/>
      <c r="I77" s="4"/>
    </row>
    <row r="78" spans="2:9" ht="99" customHeight="1">
      <c r="B78" s="121" t="inlineStr">
        <is>
          <r>
            <t xml:space="preserve">
i) 운영 및 유지보수 방법에 관련된 요구사항
requirements related to methods of operation and maintenance
</t>
          </r>
        </is>
      </c>
      <c r="C78" s="134" t="inlineStr">
        <is>
          <r>
            <t xml:space="preserve">
NA
</t>
          </r>
        </is>
      </c>
      <c r="D78" s="145"/>
      <c r="E78" s="170"/>
      <c r="F78" s="7"/>
      <c r="G78" s="4"/>
      <c r="H78" s="4"/>
      <c r="I78" s="4"/>
    </row>
    <row r="79" spans="2:9" ht="70.5" customHeight="1">
      <c r="B79" s="121" t="inlineStr">
        <is>
          <r>
            <t xml:space="preserve">
j) 개발할 사용자 설명서
(user documentation to be developed)
</t>
          </r>
        </is>
      </c>
      <c r="C79" s="134" t="inlineStr">
        <is>
          <r>
            <t xml:space="preserve">
NA
</t>
          </r>
        </is>
      </c>
      <c r="D79" s="147"/>
      <c r="E79" s="176"/>
      <c r="F79" s="7"/>
      <c r="G79" s="4"/>
      <c r="H79" s="4"/>
      <c r="I79" s="4"/>
    </row>
    <row r="80" spans="2:9" ht="84.0" customHeight="1">
      <c r="B80" s="121" t="inlineStr">
        <is>
          <r>
            <t xml:space="preserve">
k) 사용자 유지보수 요구사항
(user maintenance requirements)
</t>
          </r>
        </is>
      </c>
      <c r="C80" s="134" t="inlineStr">
        <is>
          <r>
            <t xml:space="preserve">
NA
</t>
          </r>
        </is>
      </c>
      <c r="D80" s="147"/>
      <c r="E80" s="176"/>
      <c r="F80" s="7"/>
      <c r="G80" s="4"/>
      <c r="H80" s="4"/>
      <c r="I80" s="4"/>
    </row>
    <row r="81" spans="2:9" ht="57.0" customHeight="1">
      <c r="B81" s="118" t="inlineStr">
        <is>
          <r>
            <t xml:space="preserve">
l) 규제적 요구사항
(regulatory requirements)
</t>
          </r>
        </is>
      </c>
      <c r="C81" s="152" t="inlineStr">
        <is>
          <r>
            <t xml:space="preserve">
IEC 60601-1
(IEC 62304에 포함되지 않은 사항)
</t>
          </r>
        </is>
      </c>
      <c r="D81" s="135"/>
      <c r="E81" s="146"/>
      <c r="F81" s="181" t="inlineStr">
        <is>
          <r>
            <t xml:space="preserve">
필수 성능 시험을 진행한다.
</t>
          </r>
        </is>
      </c>
      <c r="G81" s="120" t="str">
        <f>"SW-FW-RID-"&amp;57</f>
        <v>SW-FW-RID-57</v>
      </c>
      <c r="H81" s="120" t="inlineStr">
        <is>
          <r>
            <t xml:space="preserve">
SYS-RID-SP-FW-39, SYS-RID-SP-FW-40
</t>
          </r>
        </is>
      </c>
      <c r="I81" s="10"/>
    </row>
    <row r="82" spans="2:9" ht="70.5" customHeight="1">
      <c r="B82" s="124"/>
      <c r="C82" s="167"/>
      <c r="D82" s="83"/>
      <c r="E82" s="142"/>
      <c r="F82" s="139" t="inlineStr">
        <is>
          <r>
            <t xml:space="preserve">
실시간 신호처리 주기는 1.00ms, 허용 오차 +/-5%(0.95~1.05ms)이며 각 블록 처리는 다음 처리 시작 전에 완료되어야 한다.
</t>
          </r>
        </is>
      </c>
      <c r="G82" s="120" t="str">
        <f>"SW-FW-RID-"&amp;58</f>
        <v>SW-FW-RID-58</v>
      </c>
      <c r="H82" s="120" t="inlineStr">
        <is>
          <r>
            <t xml:space="preserve">
SYS-RID-SP-FW-41
</t>
          </r>
        </is>
      </c>
      <c r="I82" s="4"/>
    </row>
    <row r="83" spans="2:9" ht="57.95" customHeight="1">
      <c r="B83" s="124"/>
      <c r="C83" s="167"/>
      <c r="D83" s="83"/>
      <c r="E83" s="142"/>
      <c r="F83" s="139" t="inlineStr">
        <is>
          <r>
            <t xml:space="preserve">
제어 명령이 프로토콜에 맞게 전송되어야 실행한다.
</t>
          </r>
        </is>
      </c>
      <c r="G83" s="120" t="str">
        <f>"SW-FW-RID-"&amp;59</f>
        <v>SW-FW-RID-59</v>
      </c>
      <c r="H83" s="120" t="inlineStr">
        <is>
          <r>
            <t xml:space="preserve">
SYS-RID-SP-FW-28
</t>
          </r>
        </is>
      </c>
      <c r="I83" s="4"/>
    </row>
    <row r="84" spans="2:9" ht="112.5" customHeight="1">
      <c r="B84" s="124"/>
      <c r="C84" s="167"/>
      <c r="D84" s="83"/>
      <c r="E84" s="142"/>
      <c r="F84" s="139" t="inlineStr">
        <is>
          <r>
            <t xml:space="preserve">
CRC 기능이 있는 통신 프로토콜을 사용한다.
</t>
          </r>
          <r>
            <rPr>
              <rFont val="맑은 고딕"/>
              <sz val="12"/>
              <color rgb="FFC00000"/>
              <u val="single"/>
            </rPr>
            <t xml:space="preserve">[QCC 자료 입력] CRC가 적용된 무선 통신의 QCC 내부 모듈/유닛 설계 연결을 추가한다.</t>
          </r>
          <r>
            <t xml:space="preserve">
</t>
          </r>
        </is>
      </c>
      <c r="G84" s="120" t="str">
        <f>"SW-FW-RID-"&amp;60</f>
        <v>SW-FW-RID-60</v>
      </c>
      <c r="H84" s="120" t="inlineStr">
        <is>
          <r>
            <t xml:space="preserve">
SYS-RID-SP-FW-42
</t>
          </r>
        </is>
      </c>
      <c r="I84" s="4"/>
    </row>
    <row r="85" spans="2:9" ht="43.5" customHeight="1">
      <c r="B85" s="124"/>
      <c r="C85" s="167"/>
      <c r="D85" s="83"/>
      <c r="E85" s="142"/>
      <c r="F85" s="139" t="inlineStr">
        <is>
          <r>
            <t xml:space="preserve">
정상사용을 위한 준비상태를 표시하도록 설계한다.
</t>
          </r>
        </is>
      </c>
      <c r="G85" s="120" t="str">
        <f>"SW-FW-RID-"&amp;61</f>
        <v>SW-FW-RID-61</v>
      </c>
      <c r="H85" s="120" t="inlineStr">
        <is>
          <r>
            <t xml:space="preserve">
SYS-RID-SP-FW-43
</t>
          </r>
        </is>
      </c>
      <c r="I85" s="4"/>
    </row>
    <row r="86" spans="2:9" ht="57.0" customHeight="1">
      <c r="B86" s="124"/>
      <c r="C86" s="163"/>
      <c r="D86" s="141"/>
      <c r="E86" s="166"/>
      <c r="F86" s="139" t="inlineStr">
        <is>
          <r>
            <t xml:space="preserve">
전원커넥터가 연결되면 연결을 확인할 수 있어야한다.(충전모드 표시).
</t>
          </r>
        </is>
      </c>
      <c r="G86" s="120" t="str">
        <f>"SW-FW-RID-"&amp;62</f>
        <v>SW-FW-RID-62</v>
      </c>
      <c r="H86" s="120" t="inlineStr">
        <is>
          <r>
            <t xml:space="preserve">
SYS-RID-SP-FW-44
</t>
          </r>
        </is>
      </c>
      <c r="I86" s="4"/>
    </row>
    <row r="87" spans="2:9" ht="43.5" customHeight="1">
      <c r="B87" s="124"/>
      <c r="C87" s="70"/>
      <c r="D87" s="71"/>
      <c r="E87" s="72"/>
      <c r="F87" s="139" t="inlineStr">
        <is>
          <r>
            <t xml:space="preserve">
배터리 잔량을 표시할 수 있어야 한다.
</t>
          </r>
        </is>
      </c>
      <c r="G87" s="120" t="str">
        <f>"SW-FW-RID-"&amp;63</f>
        <v>SW-FW-RID-63</v>
      </c>
      <c r="H87" s="4"/>
      <c r="I87" s="4"/>
    </row>
    <row r="88" spans="2:9" ht="43.5" customHeight="1">
      <c r="B88" s="124"/>
      <c r="C88" s="73"/>
      <c r="D88" s="74"/>
      <c r="E88" s="75"/>
      <c r="F88" s="139" t="inlineStr">
        <is>
          <r>
            <t xml:space="preserve">
구분이 쉽도록 LED 패턴을 생성한다.
</t>
          </r>
        </is>
      </c>
      <c r="G88" s="120" t="str">
        <f>"SW-FW-RID-"&amp;64</f>
        <v>SW-FW-RID-64</v>
      </c>
      <c r="H88" s="120" t="inlineStr">
        <is>
          <r>
            <t xml:space="preserve">
SYS-RID-SP-FW-45
</t>
          </r>
        </is>
      </c>
      <c r="I88" s="4"/>
    </row>
    <row r="89" spans="2:9" ht="57.0" customHeight="1">
      <c r="B89" s="124"/>
      <c r="C89" s="73"/>
      <c r="D89" s="74"/>
      <c r="E89" s="75"/>
      <c r="F89" s="139" t="inlineStr">
        <is>
          <r>
            <t xml:space="preserve">
사회 통념적으로 사용되는 색상을 사용하여 인공와우 외부기 상태를 표시한다.
</t>
          </r>
        </is>
      </c>
      <c r="G89" s="120" t="str">
        <f>"SW-FW-RID-"&amp;65</f>
        <v>SW-FW-RID-65</v>
      </c>
      <c r="H89" s="120" t="inlineStr">
        <is>
          <r>
            <t xml:space="preserve">
SYS-RID-SP-FW-46
</t>
          </r>
        </is>
      </c>
      <c r="I89" s="4"/>
    </row>
    <row r="90" spans="2:9" ht="57.0" customHeight="1">
      <c r="B90" s="124"/>
      <c r="C90" s="73"/>
      <c r="D90" s="74"/>
      <c r="E90" s="75"/>
      <c r="F90" s="139" t="inlineStr">
        <is>
          <r>
            <t xml:space="preserve">
BLE 통신 연결 장애 발생 시, 정상 동작이 되어야 한다.
</t>
          </r>
        </is>
      </c>
      <c r="G90" s="120" t="str">
        <f>"SW-FW-RID-"&amp;66</f>
        <v>SW-FW-RID-66</v>
      </c>
      <c r="H90" s="120" t="inlineStr">
        <is>
          <r>
            <t xml:space="preserve">
SYS-RID-SP-FW-37
</t>
          </r>
        </is>
      </c>
      <c r="I90" s="4"/>
    </row>
    <row r="91" spans="2:9" ht="43.5" customHeight="1">
      <c r="B91" s="124"/>
      <c r="C91" s="73"/>
      <c r="D91" s="74"/>
      <c r="E91" s="75"/>
      <c r="F91" s="139" t="inlineStr">
        <is>
          <r>
            <t xml:space="preserve">
시동과정에서는 출력을 생성하지 않게 한다
</t>
          </r>
        </is>
      </c>
      <c r="G91" s="120" t="str">
        <f>"SW-FW-RID-"&amp;67</f>
        <v>SW-FW-RID-67</v>
      </c>
      <c r="H91" s="120" t="inlineStr">
        <is>
          <r>
            <t xml:space="preserve">
SYS-RID-SP-FW-49
</t>
          </r>
        </is>
      </c>
      <c r="I91" s="4"/>
    </row>
    <row r="92" spans="2:9" ht="43.5" customHeight="1">
      <c r="B92" s="165"/>
      <c r="C92" s="76"/>
      <c r="D92" s="77"/>
      <c r="E92" s="78"/>
      <c r="F92" s="139" t="inlineStr">
        <is>
          <r>
            <t xml:space="preserve">
종료과정에서는 출력을 생성하지 않게 한다.
</t>
          </r>
        </is>
      </c>
      <c r="G92" s="120" t="str">
        <f>"SW-FW-RID-"&amp;68</f>
        <v>SW-FW-RID-68</v>
      </c>
      <c r="H92" s="120" t="inlineStr">
        <is>
          <r>
            <t xml:space="preserve">
SYS-RID-SP-FW-50
</t>
          </r>
        </is>
      </c>
      <c r="I92" s="4"/>
    </row>
  </sheetData>
  <mergeCells count="60">
    <mergeCell ref="B49:B52"/>
    <mergeCell ref="C54:E73"/>
    <mergeCell ref="C75:E75"/>
    <mergeCell ref="C77:E77"/>
    <mergeCell ref="C76:E76"/>
    <mergeCell ref="C51:E52"/>
    <mergeCell ref="C49:E49"/>
    <mergeCell ref="B81:B92"/>
    <mergeCell ref="B74:B75"/>
    <mergeCell ref="C53:E53"/>
    <mergeCell ref="C78:E78"/>
    <mergeCell ref="C74:E74"/>
    <mergeCell ref="C87:E92"/>
    <mergeCell ref="C81:E86"/>
    <mergeCell ref="C80:E80"/>
    <mergeCell ref="C79:E79"/>
    <mergeCell ref="D48:E48"/>
    <mergeCell ref="B54:B73"/>
    <mergeCell ref="B3:I3"/>
    <mergeCell ref="D6:D7"/>
    <mergeCell ref="H4:I4"/>
    <mergeCell ref="C18:C19"/>
    <mergeCell ref="F4:F5"/>
    <mergeCell ref="G4:G5"/>
    <mergeCell ref="B4:B5"/>
    <mergeCell ref="C4:E5"/>
    <mergeCell ref="D46:E46"/>
    <mergeCell ref="C46:C48"/>
    <mergeCell ref="C50:E50"/>
    <mergeCell ref="H6:H7"/>
    <mergeCell ref="D47:E47"/>
    <mergeCell ref="D8:E8"/>
    <mergeCell ref="D9:E9"/>
    <mergeCell ref="B6:B19"/>
    <mergeCell ref="C6:C12"/>
    <mergeCell ref="C24:C28"/>
    <mergeCell ref="D10:E10"/>
    <mergeCell ref="D11:E11"/>
    <mergeCell ref="D14:E14"/>
    <mergeCell ref="D15:E15"/>
    <mergeCell ref="D16:E16"/>
    <mergeCell ref="B20:B48"/>
    <mergeCell ref="D17:E17"/>
    <mergeCell ref="C13:C17"/>
    <mergeCell ref="D18:E18"/>
    <mergeCell ref="D24:E24"/>
    <mergeCell ref="D29:E33"/>
    <mergeCell ref="D12:E12"/>
    <mergeCell ref="D19:E19"/>
    <mergeCell ref="C20:C23"/>
    <mergeCell ref="C40:C45"/>
    <mergeCell ref="D40:E42"/>
    <mergeCell ref="D43:E45"/>
    <mergeCell ref="C29:C39"/>
    <mergeCell ref="D34:E39"/>
    <mergeCell ref="D20:E21"/>
    <mergeCell ref="D22:E22"/>
    <mergeCell ref="D23:E23"/>
    <mergeCell ref="E25:E27"/>
    <mergeCell ref="D25:D28"/>
  </mergeCells>
  <phoneticPr fontId="1" type="noConversion"/>
  <pageMargins left="0.25" right="0.25" top="0.75" bottom="0.75" header="0.3" footer="0.3"/>
  <pageSetup paperSize="9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표지</vt:lpstr>
      <vt:lpstr>소프트웨어 입력 요구사항 사양서</vt:lpstr>
      <vt:lpstr>'소프트웨어 입력 요구사항 사양서'!Print_Area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</dc:creator>
  <cp:lastModifiedBy>김은수</cp:lastModifiedBy>
  <cp:lastPrinted>2024-11-25T16:29:04Z</cp:lastPrinted>
  <dcterms:created xsi:type="dcterms:W3CDTF">2015-06-05T18:19:34Z</dcterms:created>
  <dcterms:modified xsi:type="dcterms:W3CDTF">2026-10-12T09:54:49Z</dcterms:modified>
</cp:coreProperties>
</file>