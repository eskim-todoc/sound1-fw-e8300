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UNSU\.claude\jobs\00571323\tmp\"/>
    </mc:Choice>
  </mc:AlternateContent>
  <xr:revisionPtr revIDLastSave="0" documentId="13_ncr:1_{72779E01-801E-4D51-B33F-4B891177C9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5세대 입력 음압 대비 ADC 출력 테이블" sheetId="2" r:id="rId1"/>
    <sheet name="Sound1 시료 측정 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<sst xmlns="http://schemas.openxmlformats.org/spreadsheetml/2006/main" count="55" uniqueCount="30">
  <si>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dBSPL</t>
  </si>
  <si>
    <t>501C</t>
  </si>
  <si>
    <t>501D</t>
  </si>
  <si>
    <t>501E</t>
  </si>
  <si>
    <t>501F</t>
  </si>
  <si>
    <t>500A</t>
    <phoneticPr fontId="1" type="noConversion"/>
  </si>
  <si>
    <t>500D</t>
    <phoneticPr fontId="1" type="noConversion"/>
  </si>
  <si>
    <t>500E</t>
    <phoneticPr fontId="1" type="noConversion"/>
  </si>
  <si>
    <t>500F</t>
    <phoneticPr fontId="1" type="noConversion"/>
  </si>
  <si>
    <r>
      <rPr>
        <sz val="8"/>
        <color theme="1"/>
        <rFont val="맑은 고딕"/>
        <family val="2"/>
      </rPr>
      <t>레벨</t>
    </r>
  </si>
  <si>
    <r>
      <t>500C-1</t>
    </r>
    <r>
      <rPr>
        <sz val="8"/>
        <color theme="1"/>
        <rFont val="맑은 고딕"/>
        <family val="2"/>
        <charset val="129"/>
      </rPr>
      <t>차</t>
    </r>
    <phoneticPr fontId="1" type="noConversion"/>
  </si>
  <si>
    <t>최대</t>
    <phoneticPr fontId="1" type="noConversion"/>
  </si>
  <si>
    <t>평균</t>
    <phoneticPr fontId="1" type="noConversion"/>
  </si>
  <si>
    <t>기구 조립 상태</t>
    <phoneticPr fontId="1" type="noConversion"/>
  </si>
  <si>
    <r>
      <t xml:space="preserve">PCB </t>
    </r>
    <r>
      <rPr>
        <b/>
        <sz val="8"/>
        <color theme="1"/>
        <rFont val="맑은 고딕"/>
        <family val="2"/>
        <charset val="129"/>
      </rPr>
      <t>상태</t>
    </r>
    <phoneticPr fontId="1" type="noConversion"/>
  </si>
  <si>
    <r>
      <t>500C-2</t>
    </r>
    <r>
      <rPr>
        <sz val="8"/>
        <color theme="1"/>
        <rFont val="맑은 고딕"/>
        <family val="2"/>
        <charset val="129"/>
      </rPr>
      <t>차</t>
    </r>
    <phoneticPr fontId="1" type="noConversion"/>
  </si>
  <si>
    <t>Sound1 산출 기준</t>
  </si>
  <si>
    <t>PCB 상태</t>
  </si>
  <si>
    <t>기구 조립</t>
  </si>
  <si>
    <t>Sound1 입력 음압 대비 ADC 출력 테이블</t>
  </si>
  <si>
    <t>음압
dB SPL</t>
  </si>
  <si>
    <t>1.5세대 ADC
(멤브레인 미적용)</t>
  </si>
  <si>
    <t>1.5세대 ADC
(멤브레인 고려)</t>
  </si>
  <si>
    <t>Sound1 ADC
(PCB 상태)</t>
  </si>
  <si>
    <t>Sound1 ADC
(기구 조립 상태)</t>
  </si>
  <si>
    <t>1.5세대와 Sound1 은 같은 스펙의 마이크를 쓴다. 그래서 1.5세대 테이블의 생성 규칙을 그대로 두고 Sound1 의 감쇠만 반영했다.
ADC = floor(262143 x 10^((dB SPL - 120 + 감쇠) / 20)),  262143 = 2^18 - 1  (1.5세대 표가 내림으로 만들어져 있다)
감쇠는 고음압 평탄 구간(80~110 dB SPL) 실측에서 구했다.  PCB 상태 -3.644 dB = 5 시료 평균 (참조용, 시험 대상이 아니다)
기구 조립 -8.293 dB = 실측 6 시료의 상·하한 중앙 (판정용).  시험 허용 오차 +-5 dB 는 이 표에서 정확히 한 칸 위/아래다.</t>
    <phoneticPr fontId="1" type="noConversion"/>
  </si>
  <si>
    <t>허용 범위 (PCB 상태)</t>
  </si>
  <si>
    <t>+5 dB</t>
  </si>
  <si>
    <t>-5 dB</t>
  </si>
  <si>
    <t>허용 범위 (기구 조립)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</si>
</sst>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</font>
    <font>
      <sz val="8"/>
      <color theme="1"/>
      <name val="맑은 고딕"/>
      <family val="2"/>
      <charset val="129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theme="1"/>
      <name val="Arial"/>
      <family val="2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b/>
      <u/>
      <sz val="8"/>
      <color rgb="FF00B050"/>
      <name val="Arial"/>
      <family val="2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'Sound1 시료 측정 데이터'!$E$3</c:f>
              <c:strCache>
                <c:ptCount val="1"/>
                <c:pt idx="0">
                  <c:v>501C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데이터'!$F$5:$F$18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338</c:v>
                </c:pt>
                <c:pt idx="5">
                  <c:v>583</c:v>
                </c:pt>
                <c:pt idx="6">
                  <c:v>1010</c:v>
                </c:pt>
                <c:pt idx="7">
                  <c:v>1759</c:v>
                </c:pt>
                <c:pt idx="8">
                  <c:v>3050</c:v>
                </c:pt>
                <c:pt idx="9">
                  <c:v>5362</c:v>
                </c:pt>
                <c:pt idx="10">
                  <c:v>9532</c:v>
                </c:pt>
                <c:pt idx="11">
                  <c:v>17135</c:v>
                </c:pt>
                <c:pt idx="12">
                  <c:v>31047</c:v>
                </c:pt>
                <c:pt idx="13">
                  <c:v>55417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089-4C01-99D8-C64E64F092EB}"/>
            </c:ext>
          </c:extLst>
        </c:ser>
        <c:ser>
          <c:idx val="1"/>
          <c:order val="1"/>
          <c:tx>
            <c:strRef>
              <c:f>'Sound1 시료 측정 데이터'!$G$3</c:f>
              <c:strCache>
                <c:ptCount val="1"/>
                <c:pt idx="0">
                  <c:v>501D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데이터'!$H$5:$H$18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330</c:v>
                </c:pt>
                <c:pt idx="5">
                  <c:v>577</c:v>
                </c:pt>
                <c:pt idx="6">
                  <c:v>1002</c:v>
                </c:pt>
                <c:pt idx="7">
                  <c:v>1744</c:v>
                </c:pt>
                <c:pt idx="8">
                  <c:v>3021</c:v>
                </c:pt>
                <c:pt idx="9">
                  <c:v>5305</c:v>
                </c:pt>
                <c:pt idx="10">
                  <c:v>9444</c:v>
                </c:pt>
                <c:pt idx="11">
                  <c:v>17055</c:v>
                </c:pt>
                <c:pt idx="12">
                  <c:v>30904</c:v>
                </c:pt>
                <c:pt idx="13">
                  <c:v>56130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089-4C01-99D8-C64E64F092EB}"/>
            </c:ext>
          </c:extLst>
        </c:ser>
        <c:ser>
          <c:idx val="2"/>
          <c:order val="2"/>
          <c:tx>
            <c:strRef>
              <c:f>'Sound1 시료 측정 데이터'!$I$3</c:f>
              <c:strCache>
                <c:ptCount val="1"/>
                <c:pt idx="0">
                  <c:v>501E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데이터'!$J$5:$J$18</c:f>
              <c:numCache>
                <c:formatCode>General</c:formatCode>
                <c:ptCount val="14"/>
                <c:pt idx="0">
                  <c:v>46</c:v>
                </c:pt>
                <c:pt idx="1">
                  <c:v>68</c:v>
                </c:pt>
                <c:pt idx="2">
                  <c:v>115</c:v>
                </c:pt>
                <c:pt idx="3">
                  <c:v>192</c:v>
                </c:pt>
                <c:pt idx="4">
                  <c:v>329</c:v>
                </c:pt>
                <c:pt idx="5">
                  <c:v>574</c:v>
                </c:pt>
                <c:pt idx="6">
                  <c:v>993</c:v>
                </c:pt>
                <c:pt idx="7">
                  <c:v>1730</c:v>
                </c:pt>
                <c:pt idx="8">
                  <c:v>3004</c:v>
                </c:pt>
                <c:pt idx="9">
                  <c:v>5291</c:v>
                </c:pt>
                <c:pt idx="10">
                  <c:v>9395</c:v>
                </c:pt>
                <c:pt idx="11">
                  <c:v>16963</c:v>
                </c:pt>
                <c:pt idx="12">
                  <c:v>30757</c:v>
                </c:pt>
                <c:pt idx="13">
                  <c:v>54763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089-4C01-99D8-C64E64F092EB}"/>
            </c:ext>
          </c:extLst>
        </c:ser>
        <c:ser>
          <c:idx val="3"/>
          <c:order val="3"/>
          <c:tx>
            <c:strRef>
              <c:f>'Sound1 시료 측정 데이터'!$K$3</c:f>
              <c:strCache>
                <c:ptCount val="1"/>
                <c:pt idx="0">
                  <c:v>501F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데이터'!$L$5:$L$18</c:f>
              <c:numCache>
                <c:formatCode>General</c:formatCode>
                <c:ptCount val="14"/>
                <c:pt idx="0">
                  <c:v>47</c:v>
                </c:pt>
                <c:pt idx="1">
                  <c:v>70</c:v>
                </c:pt>
                <c:pt idx="2">
                  <c:v>116</c:v>
                </c:pt>
                <c:pt idx="3">
                  <c:v>194</c:v>
                </c:pt>
                <c:pt idx="4">
                  <c:v>334</c:v>
                </c:pt>
                <c:pt idx="5">
                  <c:v>583</c:v>
                </c:pt>
                <c:pt idx="6">
                  <c:v>1012</c:v>
                </c:pt>
                <c:pt idx="7">
                  <c:v>1758</c:v>
                </c:pt>
                <c:pt idx="8">
                  <c:v>3063</c:v>
                </c:pt>
                <c:pt idx="9">
                  <c:v>5385</c:v>
                </c:pt>
                <c:pt idx="10">
                  <c:v>9594</c:v>
                </c:pt>
                <c:pt idx="11">
                  <c:v>17293</c:v>
                </c:pt>
                <c:pt idx="12">
                  <c:v>31377</c:v>
                </c:pt>
                <c:pt idx="13">
                  <c:v>56566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089-4C01-99D8-C64E64F092EB}"/>
            </c:ext>
          </c:extLst>
        </c:ser>
        <c:ser>
          <c:idx val="4"/>
          <c:order val="4"/>
          <c:tx>
            <c:strRef>
              <c:f>'Sound1 시료 측정 데이터'!$M$3</c:f>
              <c:strCache>
                <c:ptCount val="1"/>
                <c:pt idx="0">
                  <c:v>5020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데이터'!$N$5:$N$18</c:f>
              <c:numCache>
                <c:formatCode>General</c:formatCode>
                <c:ptCount val="14"/>
                <c:pt idx="0">
                  <c:v>45</c:v>
                </c:pt>
                <c:pt idx="1">
                  <c:v>68</c:v>
                </c:pt>
                <c:pt idx="2">
                  <c:v>111</c:v>
                </c:pt>
                <c:pt idx="3">
                  <c:v>192</c:v>
                </c:pt>
                <c:pt idx="4">
                  <c:v>334</c:v>
                </c:pt>
                <c:pt idx="5">
                  <c:v>579</c:v>
                </c:pt>
                <c:pt idx="6">
                  <c:v>1002</c:v>
                </c:pt>
                <c:pt idx="7">
                  <c:v>1746</c:v>
                </c:pt>
                <c:pt idx="8">
                  <c:v>3043</c:v>
                </c:pt>
                <c:pt idx="9">
                  <c:v>5350</c:v>
                </c:pt>
                <c:pt idx="10">
                  <c:v>9524</c:v>
                </c:pt>
                <c:pt idx="11">
                  <c:v>17180</c:v>
                </c:pt>
                <c:pt idx="12">
                  <c:v>31077</c:v>
                </c:pt>
                <c:pt idx="13">
                  <c:v>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089-4C01-99D8-C64E64F092EB}"/>
            </c:ext>
          </c:extLst>
        </c:ser>
        <c:ser>
          <c:idx val="5"/>
          <c:order val="5"/>
          <c:tx>
            <c:v>Sound1 산출 기준 (PCB 상태)</c:v>
          </c:tx>
          <c:spPr>
            <a:ln w="28575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데이터'!$AD$5:$AD$18</c:f>
              <c:numCache>
                <c:formatCode>General</c:formatCode>
                <c:ptCount val="14"/>
                <c:pt idx="0">
                  <c:v>30</c:v>
                </c:pt>
                <c:pt idx="1">
                  <c:v>54</c:v>
                </c:pt>
                <c:pt idx="2">
                  <c:v>96</c:v>
                </c:pt>
                <c:pt idx="3">
                  <c:v>172</c:v>
                </c:pt>
                <c:pt idx="4">
                  <c:v>306</c:v>
                </c:pt>
                <c:pt idx="5">
                  <c:v>544</c:v>
                </c:pt>
                <c:pt idx="6">
                  <c:v>969</c:v>
                </c:pt>
                <c:pt idx="7">
                  <c:v>1723</c:v>
                </c:pt>
                <c:pt idx="8">
                  <c:v>3064</c:v>
                </c:pt>
                <c:pt idx="9">
                  <c:v>5449</c:v>
                </c:pt>
                <c:pt idx="10">
                  <c:v>9690</c:v>
                </c:pt>
                <c:pt idx="11">
                  <c:v>17232</c:v>
                </c:pt>
                <c:pt idx="12">
                  <c:v>30643</c:v>
                </c:pt>
                <c:pt idx="13">
                  <c:v>54492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8-442F-A87A-630108609633}"/>
            </c:ext>
          </c:extLst>
        </c:ser>
        <c:ser>
          <c:idx val="6"/>
          <c:order val="6"/>
          <c:tx>
            <c:v>허용 상한 (+5 dB)</c:v>
          </c:tx>
          <c:spPr>
            <a:ln w="15875" cap="rnd">
              <a:solidFill>
                <a:srgbClr val="808080"/>
              </a:solidFill>
              <a:prstDash val="dot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데이터'!$AF$5:$AF$18</c:f>
              <c:numCache>
                <c:formatCode>General</c:formatCode>
                <c:ptCount val="14"/>
                <c:pt idx="0">
                  <c:v>54</c:v>
                </c:pt>
                <c:pt idx="1">
                  <c:v>96</c:v>
                </c:pt>
                <c:pt idx="2">
                  <c:v>172</c:v>
                </c:pt>
                <c:pt idx="3">
                  <c:v>306</c:v>
                </c:pt>
                <c:pt idx="4">
                  <c:v>544</c:v>
                </c:pt>
                <c:pt idx="5">
                  <c:v>969</c:v>
                </c:pt>
                <c:pt idx="6">
                  <c:v>1723</c:v>
                </c:pt>
                <c:pt idx="7">
                  <c:v>3064</c:v>
                </c:pt>
                <c:pt idx="8">
                  <c:v>5449</c:v>
                </c:pt>
                <c:pt idx="9">
                  <c:v>9690</c:v>
                </c:pt>
                <c:pt idx="10">
                  <c:v>17232</c:v>
                </c:pt>
                <c:pt idx="11">
                  <c:v>30643</c:v>
                </c:pt>
                <c:pt idx="12">
                  <c:v>54492</c:v>
                </c:pt>
                <c:pt idx="13">
                  <c:v>96903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4-4362-849B-66D1E6E5B419}"/>
            </c:ext>
          </c:extLst>
        </c:ser>
        <c:ser>
          <c:idx val="7"/>
          <c:order val="7"/>
          <c:tx>
            <c:v>허용 하한 (-5 dB)</c:v>
          </c:tx>
          <c:spPr>
            <a:ln w="15875" cap="rnd">
              <a:solidFill>
                <a:srgbClr val="808080"/>
              </a:solidFill>
              <a:prstDash val="dot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데이터'!$AG$5:$AG$18</c:f>
              <c:numCache>
                <c:formatCode>General</c:formatCode>
                <c:ptCount val="14"/>
                <c:pt idx="0">
                  <c:v>17</c:v>
                </c:pt>
                <c:pt idx="1">
                  <c:v>30</c:v>
                </c:pt>
                <c:pt idx="2">
                  <c:v>54</c:v>
                </c:pt>
                <c:pt idx="3">
                  <c:v>96</c:v>
                </c:pt>
                <c:pt idx="4">
                  <c:v>172</c:v>
                </c:pt>
                <c:pt idx="5">
                  <c:v>306</c:v>
                </c:pt>
                <c:pt idx="6">
                  <c:v>544</c:v>
                </c:pt>
                <c:pt idx="7">
                  <c:v>969</c:v>
                </c:pt>
                <c:pt idx="8">
                  <c:v>1723</c:v>
                </c:pt>
                <c:pt idx="9">
                  <c:v>3064</c:v>
                </c:pt>
                <c:pt idx="10">
                  <c:v>5449</c:v>
                </c:pt>
                <c:pt idx="11">
                  <c:v>9690</c:v>
                </c:pt>
                <c:pt idx="12">
                  <c:v>17232</c:v>
                </c:pt>
                <c:pt idx="13">
                  <c:v>30643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4-4362-849B-66D1E6E5B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'Sound1 시료 측정 데이터'!$R$3</c:f>
              <c:strCache>
                <c:ptCount val="1"/>
                <c:pt idx="0">
                  <c:v>500C-1차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데이터'!$S$5:$S$18</c:f>
              <c:numCache>
                <c:formatCode>General</c:formatCode>
                <c:ptCount val="14"/>
                <c:pt idx="0">
                  <c:v>29</c:v>
                </c:pt>
                <c:pt idx="1">
                  <c:v>35</c:v>
                </c:pt>
                <c:pt idx="2">
                  <c:v>53</c:v>
                </c:pt>
                <c:pt idx="3">
                  <c:v>87</c:v>
                </c:pt>
                <c:pt idx="4">
                  <c:v>141</c:v>
                </c:pt>
                <c:pt idx="5">
                  <c:v>243</c:v>
                </c:pt>
                <c:pt idx="6">
                  <c:v>423</c:v>
                </c:pt>
                <c:pt idx="7">
                  <c:v>724</c:v>
                </c:pt>
                <c:pt idx="8">
                  <c:v>1253</c:v>
                </c:pt>
                <c:pt idx="9">
                  <c:v>2200</c:v>
                </c:pt>
                <c:pt idx="10">
                  <c:v>3901</c:v>
                </c:pt>
                <c:pt idx="11">
                  <c:v>6966</c:v>
                </c:pt>
                <c:pt idx="12">
                  <c:v>12508</c:v>
                </c:pt>
                <c:pt idx="13">
                  <c:v>22218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9F-4EF5-B148-2803F1FD8D15}"/>
            </c:ext>
          </c:extLst>
        </c:ser>
        <c:ser>
          <c:idx val="2"/>
          <c:order val="2"/>
          <c:tx>
            <c:strRef>
              <c:f>'Sound1 시료 측정 데이터'!$T$3</c:f>
              <c:strCache>
                <c:ptCount val="1"/>
                <c:pt idx="0">
                  <c:v>500D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데이터'!$U$5:$U$18</c:f>
              <c:numCache>
                <c:formatCode>General</c:formatCode>
                <c:ptCount val="14"/>
                <c:pt idx="0">
                  <c:v>37</c:v>
                </c:pt>
                <c:pt idx="1">
                  <c:v>49</c:v>
                </c:pt>
                <c:pt idx="2">
                  <c:v>80</c:v>
                </c:pt>
                <c:pt idx="3">
                  <c:v>135</c:v>
                </c:pt>
                <c:pt idx="4">
                  <c:v>233</c:v>
                </c:pt>
                <c:pt idx="5">
                  <c:v>404</c:v>
                </c:pt>
                <c:pt idx="6">
                  <c:v>702</c:v>
                </c:pt>
                <c:pt idx="7">
                  <c:v>1222</c:v>
                </c:pt>
                <c:pt idx="8">
                  <c:v>2127</c:v>
                </c:pt>
                <c:pt idx="9">
                  <c:v>3734</c:v>
                </c:pt>
                <c:pt idx="10">
                  <c:v>6636</c:v>
                </c:pt>
                <c:pt idx="11">
                  <c:v>11835</c:v>
                </c:pt>
                <c:pt idx="12">
                  <c:v>21760</c:v>
                </c:pt>
                <c:pt idx="13">
                  <c:v>39300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9F-4EF5-B148-2803F1FD8D15}"/>
            </c:ext>
          </c:extLst>
        </c:ser>
        <c:ser>
          <c:idx val="8"/>
          <c:order val="8"/>
          <c:tx>
            <c:v>허용 상한 (+5 dB)</c:v>
          </c:tx>
          <c:spPr>
            <a:ln w="15875" cap="rnd">
              <a:solidFill>
                <a:srgbClr val="808080"/>
              </a:solidFill>
              <a:prstDash val="dot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데이터'!$AH$5:$AH$18</c:f>
              <c:numCache>
                <c:formatCode>General</c:formatCode>
                <c:ptCount val="14"/>
                <c:pt idx="0">
                  <c:v>31</c:v>
                </c:pt>
                <c:pt idx="1">
                  <c:v>56</c:v>
                </c:pt>
                <c:pt idx="2">
                  <c:v>100</c:v>
                </c:pt>
                <c:pt idx="3">
                  <c:v>179</c:v>
                </c:pt>
                <c:pt idx="4">
                  <c:v>319</c:v>
                </c:pt>
                <c:pt idx="5">
                  <c:v>567</c:v>
                </c:pt>
                <c:pt idx="6">
                  <c:v>1008</c:v>
                </c:pt>
                <c:pt idx="7">
                  <c:v>1794</c:v>
                </c:pt>
                <c:pt idx="8">
                  <c:v>3190</c:v>
                </c:pt>
                <c:pt idx="9">
                  <c:v>5673</c:v>
                </c:pt>
                <c:pt idx="10">
                  <c:v>10089</c:v>
                </c:pt>
                <c:pt idx="11">
                  <c:v>17942</c:v>
                </c:pt>
                <c:pt idx="12">
                  <c:v>31907</c:v>
                </c:pt>
                <c:pt idx="13">
                  <c:v>56739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1-42B7-B6E6-6AA1E1C524E0}"/>
            </c:ext>
          </c:extLst>
        </c:ser>
        <c:ser>
          <c:idx val="9"/>
          <c:order val="9"/>
          <c:tx>
            <c:v>허용 하한 (-5 dB)</c:v>
          </c:tx>
          <c:spPr>
            <a:ln w="15875" cap="rnd">
              <a:solidFill>
                <a:srgbClr val="808080"/>
              </a:solidFill>
              <a:prstDash val="dot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데이터'!$AI$5:$AI$18</c:f>
              <c:numCache>
                <c:formatCode>General</c:formatCode>
                <c:ptCount val="14"/>
                <c:pt idx="0">
                  <c:v>10</c:v>
                </c:pt>
                <c:pt idx="1">
                  <c:v>17</c:v>
                </c:pt>
                <c:pt idx="2">
                  <c:v>31</c:v>
                </c:pt>
                <c:pt idx="3">
                  <c:v>56</c:v>
                </c:pt>
                <c:pt idx="4">
                  <c:v>100</c:v>
                </c:pt>
                <c:pt idx="5">
                  <c:v>179</c:v>
                </c:pt>
                <c:pt idx="6">
                  <c:v>319</c:v>
                </c:pt>
                <c:pt idx="7">
                  <c:v>567</c:v>
                </c:pt>
                <c:pt idx="8">
                  <c:v>1008</c:v>
                </c:pt>
                <c:pt idx="9">
                  <c:v>1794</c:v>
                </c:pt>
                <c:pt idx="10">
                  <c:v>3190</c:v>
                </c:pt>
                <c:pt idx="11">
                  <c:v>5673</c:v>
                </c:pt>
                <c:pt idx="12">
                  <c:v>10089</c:v>
                </c:pt>
                <c:pt idx="13">
                  <c:v>17942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51-42B7-B6E6-6AA1E1C524E0}"/>
            </c:ext>
          </c:extLst>
        </c:ser>
        <c:ser>
          <c:idx val="6"/>
          <c:order val="6"/>
          <c:tx>
            <c:strRef>
              <c:f>'Sound1 시료 측정 데이터'!$AB$3:$AC$3</c:f>
              <c:strCache>
                <c:ptCount val="1"/>
                <c:pt idx="0">
                  <c:v>500C-2차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데이터'!$AC$5:$AC$18</c:f>
              <c:numCache>
                <c:formatCode>General</c:formatCode>
                <c:ptCount val="14"/>
                <c:pt idx="0">
                  <c:v>24</c:v>
                </c:pt>
                <c:pt idx="1">
                  <c:v>33</c:v>
                </c:pt>
                <c:pt idx="3">
                  <c:v>125</c:v>
                </c:pt>
                <c:pt idx="5">
                  <c:v>389</c:v>
                </c:pt>
                <c:pt idx="7">
                  <c:v>1118</c:v>
                </c:pt>
                <c:pt idx="9">
                  <c:v>3364</c:v>
                </c:pt>
                <c:pt idx="11">
                  <c:v>11048</c:v>
                </c:pt>
                <c:pt idx="13">
                  <c:v>36281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9F-4EF5-B148-2803F1FD8D15}"/>
            </c:ext>
          </c:extLst>
        </c:ser>
        <c:ser>
          <c:idx val="7"/>
          <c:order val="7"/>
          <c:tx>
            <c:v>Sound1 산출 기준 (기구 조립)</c:v>
          </c:tx>
          <c:spPr>
            <a:ln w="28575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데이터'!$AE$5:$AE$18</c:f>
              <c:numCache>
                <c:formatCode>General</c:formatCode>
                <c:ptCount val="14"/>
                <c:pt idx="0">
                  <c:v>17</c:v>
                </c:pt>
                <c:pt idx="1">
                  <c:v>31</c:v>
                </c:pt>
                <c:pt idx="2">
                  <c:v>56</c:v>
                </c:pt>
                <c:pt idx="3">
                  <c:v>100</c:v>
                </c:pt>
                <c:pt idx="4">
                  <c:v>179</c:v>
                </c:pt>
                <c:pt idx="5">
                  <c:v>319</c:v>
                </c:pt>
                <c:pt idx="6">
                  <c:v>567</c:v>
                </c:pt>
                <c:pt idx="7">
                  <c:v>1008</c:v>
                </c:pt>
                <c:pt idx="8">
                  <c:v>1794</c:v>
                </c:pt>
                <c:pt idx="9">
                  <c:v>3190</c:v>
                </c:pt>
                <c:pt idx="10">
                  <c:v>5673</c:v>
                </c:pt>
                <c:pt idx="11">
                  <c:v>10089</c:v>
                </c:pt>
                <c:pt idx="12">
                  <c:v>17942</c:v>
                </c:pt>
                <c:pt idx="13">
                  <c:v>31907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3-46E0-920B-6E4F9EFEA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'Sound1 시료 측정 데이터'!$P$3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'Sound1 시료 측정 데이터'!$Q$5:$Q$18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B9F-4EF5-B148-2803F1FD8D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데이터'!$V$3</c15:sqref>
                        </c15:formulaRef>
                      </c:ext>
                    </c:extLst>
                    <c:strCache>
                      <c:ptCount val="1"/>
                      <c:pt idx="0">
                        <c:v>500E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데이터'!$W$5:$W$18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44</c:v>
                      </c:pt>
                      <c:pt idx="1">
                        <c:v>63</c:v>
                      </c:pt>
                      <c:pt idx="2">
                        <c:v>97</c:v>
                      </c:pt>
                      <c:pt idx="3">
                        <c:v>162</c:v>
                      </c:pt>
                      <c:pt idx="4">
                        <c:v>278</c:v>
                      </c:pt>
                      <c:pt idx="5">
                        <c:v>482</c:v>
                      </c:pt>
                      <c:pt idx="6">
                        <c:v>836</c:v>
                      </c:pt>
                      <c:pt idx="7">
                        <c:v>1467</c:v>
                      </c:pt>
                      <c:pt idx="8">
                        <c:v>2576</c:v>
                      </c:pt>
                      <c:pt idx="9">
                        <c:v>4544</c:v>
                      </c:pt>
                      <c:pt idx="10">
                        <c:v>8066</c:v>
                      </c:pt>
                      <c:pt idx="11">
                        <c:v>14411</c:v>
                      </c:pt>
                      <c:pt idx="12">
                        <c:v>25885</c:v>
                      </c:pt>
                      <c:pt idx="13">
                        <c:v>46007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9F-4EF5-B148-2803F1FD8D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데이터'!$X$3</c15:sqref>
                        </c15:formulaRef>
                      </c:ext>
                    </c:extLst>
                    <c:strCache>
                      <c:ptCount val="1"/>
                      <c:pt idx="0">
                        <c:v>500F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데이터'!$Y$5:$Y$18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42</c:v>
                      </c:pt>
                      <c:pt idx="1">
                        <c:v>64</c:v>
                      </c:pt>
                      <c:pt idx="2">
                        <c:v>94</c:v>
                      </c:pt>
                      <c:pt idx="3">
                        <c:v>159</c:v>
                      </c:pt>
                      <c:pt idx="4">
                        <c:v>268</c:v>
                      </c:pt>
                      <c:pt idx="5">
                        <c:v>463</c:v>
                      </c:pt>
                      <c:pt idx="6">
                        <c:v>803</c:v>
                      </c:pt>
                      <c:pt idx="7">
                        <c:v>1394</c:v>
                      </c:pt>
                      <c:pt idx="8">
                        <c:v>2424</c:v>
                      </c:pt>
                      <c:pt idx="9">
                        <c:v>4249</c:v>
                      </c:pt>
                      <c:pt idx="10">
                        <c:v>7544</c:v>
                      </c:pt>
                      <c:pt idx="11">
                        <c:v>13600</c:v>
                      </c:pt>
                      <c:pt idx="12">
                        <c:v>24610</c:v>
                      </c:pt>
                      <c:pt idx="13">
                        <c:v>43777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B9F-4EF5-B148-2803F1FD8D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데이터'!$Z$3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데이터'!$AA$5:$AA$18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B9F-4EF5-B148-2803F1FD8D15}"/>
                  </c:ext>
                </c:extLst>
              </c15:ser>
            </c15:filteredScatterSeries>
          </c:ext>
        </c:extLst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19</xdr:row>
      <xdr:rowOff>57149</xdr:rowOff>
    </xdr:from>
    <xdr:to>
      <xdr:col>13</xdr:col>
      <xdr:colOff>581025</xdr:colOff>
      <xdr:row>39</xdr:row>
      <xdr:rowOff>142874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EFCBA1-BAF6-576F-DEFA-02EAE1F0F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104775</xdr:colOff>
      <xdr:row>19</xdr:row>
      <xdr:rowOff>47625</xdr:rowOff>
    </xdr:from>
    <xdr:to>
      <xdr:col>26</xdr:col>
      <xdr:colOff>571500</xdr:colOff>
      <xdr:row>39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B7627FB-9BB1-4354-9419-18734E024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0556-28C7-4DB4-93AC-87A1ED846803}">
  <dimension ref="B2:F100"/>
  <sheetViews>
    <sheetView tabSelected="1" workbookViewId="0">
      <selection activeCell="L11" sqref="L11"/>
    </sheetView>
  </sheetViews>
  <sheetFormatPr defaultRowHeight="11.25" x14ac:dyDescent="0.2"/>
  <cols>
    <col min="1" max="1" width="9" style="9"/>
    <col min="2" max="6" width="17.375" style="9" customWidth="1"/>
    <col min="7" max="16384" width="9" style="9"/>
  </cols>
  <sheetData>
    <row r="2" spans="2:6" ht="27.95" customHeight="1" x14ac:dyDescent="0.3">
      <c r="B2" s="13" t="s">
        <v>19</v>
      </c>
      <c r="C2" s="14"/>
      <c r="D2" s="14"/>
      <c r="E2" s="14"/>
      <c r="F2" s="14"/>
    </row>
    <row r="3" spans="2:6" ht="14.1" customHeight="1" x14ac:dyDescent="0.2">
      <c r="B3" s="3"/>
      <c r="C3" s="3"/>
      <c r="D3" s="3"/>
    </row>
    <row r="4" spans="2:6" ht="68.099999999999994" customHeight="1" x14ac:dyDescent="0.2">
      <c r="B4" s="15" t="s">
        <v>25</v>
      </c>
      <c r="C4" s="14"/>
      <c r="D4" s="14"/>
      <c r="E4" s="14"/>
      <c r="F4" s="14"/>
    </row>
    <row r="5" spans="2:6" ht="14.1" customHeight="1" x14ac:dyDescent="0.2">
      <c r="B5" s="14"/>
      <c r="C5" s="14"/>
      <c r="D5" s="14"/>
      <c r="E5" s="14"/>
      <c r="F5" s="14"/>
    </row>
    <row r="6" spans="2:6" ht="72.75" customHeight="1" x14ac:dyDescent="0.2">
      <c r="B6" s="14"/>
      <c r="C6" s="14"/>
      <c r="D6" s="14"/>
      <c r="E6" s="14"/>
      <c r="F6" s="14"/>
    </row>
    <row r="7" spans="2:6" ht="14.1" customHeight="1" x14ac:dyDescent="0.2">
      <c r="B7" s="3"/>
      <c r="C7" s="3"/>
      <c r="D7" s="3"/>
    </row>
    <row r="8" spans="2:6" ht="53.25" customHeight="1" x14ac:dyDescent="0.2">
      <c r="B8" s="11" t="s">
        <v>20</v>
      </c>
      <c r="C8" s="11" t="s">
        <v>21</v>
      </c>
      <c r="D8" s="11" t="s">
        <v>22</v>
      </c>
      <c r="E8" s="11" t="s">
        <v>23</v>
      </c>
      <c r="F8" s="11" t="s">
        <v>24</v>
      </c>
    </row>
    <row r="9" spans="2:6" ht="14.1" customHeight="1" x14ac:dyDescent="0.2">
      <c r="B9" s="12">
        <v>29</v>
      </c>
      <c r="C9" s="12">
        <v>7</v>
      </c>
      <c r="D9" s="12">
        <v>7</v>
      </c>
      <c r="E9" s="12">
        <v>4</v>
      </c>
      <c r="F9" s="12">
        <v>2</v>
      </c>
    </row>
    <row r="10" spans="2:6" ht="14.1" customHeight="1" x14ac:dyDescent="0.2">
      <c r="B10" s="12">
        <v>30</v>
      </c>
      <c r="C10" s="12">
        <v>8</v>
      </c>
      <c r="D10" s="12">
        <v>7</v>
      </c>
      <c r="E10" s="12">
        <v>5</v>
      </c>
      <c r="F10" s="12">
        <v>3</v>
      </c>
    </row>
    <row r="11" spans="2:6" ht="14.1" customHeight="1" x14ac:dyDescent="0.2">
      <c r="B11" s="12">
        <v>31</v>
      </c>
      <c r="C11" s="12">
        <v>9</v>
      </c>
      <c r="D11" s="12">
        <v>7</v>
      </c>
      <c r="E11" s="12">
        <v>6</v>
      </c>
      <c r="F11" s="12">
        <v>3</v>
      </c>
    </row>
    <row r="12" spans="2:6" ht="14.1" customHeight="1" x14ac:dyDescent="0.2">
      <c r="B12" s="12">
        <v>32</v>
      </c>
      <c r="C12" s="12">
        <v>10</v>
      </c>
      <c r="D12" s="12">
        <v>7</v>
      </c>
      <c r="E12" s="12">
        <v>6</v>
      </c>
      <c r="F12" s="12">
        <v>4</v>
      </c>
    </row>
    <row r="13" spans="2:6" ht="14.1" customHeight="1" x14ac:dyDescent="0.2">
      <c r="B13" s="12">
        <v>33</v>
      </c>
      <c r="C13" s="12">
        <v>11</v>
      </c>
      <c r="D13" s="12">
        <v>8</v>
      </c>
      <c r="E13" s="12">
        <v>7</v>
      </c>
      <c r="F13" s="12">
        <v>4</v>
      </c>
    </row>
    <row r="14" spans="2:6" ht="14.1" customHeight="1" x14ac:dyDescent="0.2">
      <c r="B14" s="12">
        <v>34</v>
      </c>
      <c r="C14" s="12">
        <v>13</v>
      </c>
      <c r="D14" s="12">
        <v>9</v>
      </c>
      <c r="E14" s="12">
        <v>8</v>
      </c>
      <c r="F14" s="12">
        <v>5</v>
      </c>
    </row>
    <row r="15" spans="2:6" ht="14.1" customHeight="1" x14ac:dyDescent="0.2">
      <c r="B15" s="12">
        <v>35</v>
      </c>
      <c r="C15" s="12">
        <v>14</v>
      </c>
      <c r="D15" s="12">
        <v>10</v>
      </c>
      <c r="E15" s="12">
        <v>9</v>
      </c>
      <c r="F15" s="12">
        <v>5</v>
      </c>
    </row>
    <row r="16" spans="2:6" ht="14.1" customHeight="1" x14ac:dyDescent="0.2">
      <c r="B16" s="12">
        <v>36</v>
      </c>
      <c r="C16" s="12">
        <v>16</v>
      </c>
      <c r="D16" s="12">
        <v>11</v>
      </c>
      <c r="E16" s="12">
        <v>10</v>
      </c>
      <c r="F16" s="12">
        <v>6</v>
      </c>
    </row>
    <row r="17" spans="2:6" ht="14.1" customHeight="1" x14ac:dyDescent="0.2">
      <c r="B17" s="12">
        <v>37</v>
      </c>
      <c r="C17" s="12">
        <v>18</v>
      </c>
      <c r="D17" s="12">
        <v>13</v>
      </c>
      <c r="E17" s="12">
        <v>12</v>
      </c>
      <c r="F17" s="12">
        <v>7</v>
      </c>
    </row>
    <row r="18" spans="2:6" ht="14.1" customHeight="1" x14ac:dyDescent="0.2">
      <c r="B18" s="12">
        <v>38</v>
      </c>
      <c r="C18" s="12">
        <v>20</v>
      </c>
      <c r="D18" s="12">
        <v>14</v>
      </c>
      <c r="E18" s="12">
        <v>13</v>
      </c>
      <c r="F18" s="12">
        <v>8</v>
      </c>
    </row>
    <row r="19" spans="2:6" ht="14.1" customHeight="1" x14ac:dyDescent="0.2">
      <c r="B19" s="12">
        <v>39</v>
      </c>
      <c r="C19" s="12">
        <v>23</v>
      </c>
      <c r="D19" s="12">
        <v>16</v>
      </c>
      <c r="E19" s="12">
        <v>15</v>
      </c>
      <c r="F19" s="12">
        <v>8</v>
      </c>
    </row>
    <row r="20" spans="2:6" ht="14.1" customHeight="1" x14ac:dyDescent="0.2">
      <c r="B20" s="12">
        <v>40</v>
      </c>
      <c r="C20" s="12">
        <v>26</v>
      </c>
      <c r="D20" s="12">
        <v>18</v>
      </c>
      <c r="E20" s="12">
        <v>17</v>
      </c>
      <c r="F20" s="12">
        <v>10</v>
      </c>
    </row>
    <row r="21" spans="2:6" ht="14.1" customHeight="1" x14ac:dyDescent="0.2">
      <c r="B21" s="12">
        <v>41</v>
      </c>
      <c r="C21" s="12">
        <v>29</v>
      </c>
      <c r="D21" s="12">
        <v>20</v>
      </c>
      <c r="E21" s="12">
        <v>19</v>
      </c>
      <c r="F21" s="12">
        <v>11</v>
      </c>
    </row>
    <row r="22" spans="2:6" ht="14.1" customHeight="1" x14ac:dyDescent="0.2">
      <c r="B22" s="12">
        <v>42</v>
      </c>
      <c r="C22" s="12">
        <v>33</v>
      </c>
      <c r="D22" s="12">
        <v>23</v>
      </c>
      <c r="E22" s="12">
        <v>21</v>
      </c>
      <c r="F22" s="12">
        <v>12</v>
      </c>
    </row>
    <row r="23" spans="2:6" ht="14.1" customHeight="1" x14ac:dyDescent="0.2">
      <c r="B23" s="12">
        <v>43</v>
      </c>
      <c r="C23" s="12">
        <v>37</v>
      </c>
      <c r="D23" s="12">
        <v>26</v>
      </c>
      <c r="E23" s="12">
        <v>24</v>
      </c>
      <c r="F23" s="12">
        <v>14</v>
      </c>
    </row>
    <row r="24" spans="2:6" ht="14.1" customHeight="1" x14ac:dyDescent="0.2">
      <c r="B24" s="12">
        <v>44</v>
      </c>
      <c r="C24" s="12">
        <v>41</v>
      </c>
      <c r="D24" s="12">
        <v>29</v>
      </c>
      <c r="E24" s="12">
        <v>27</v>
      </c>
      <c r="F24" s="12">
        <v>15</v>
      </c>
    </row>
    <row r="25" spans="2:6" ht="14.1" customHeight="1" x14ac:dyDescent="0.2">
      <c r="B25" s="12">
        <v>45</v>
      </c>
      <c r="C25" s="12">
        <v>46</v>
      </c>
      <c r="D25" s="12">
        <v>33</v>
      </c>
      <c r="E25" s="12">
        <v>30</v>
      </c>
      <c r="F25" s="12">
        <v>17</v>
      </c>
    </row>
    <row r="26" spans="2:6" ht="14.1" customHeight="1" x14ac:dyDescent="0.2">
      <c r="B26" s="12">
        <v>46</v>
      </c>
      <c r="C26" s="12">
        <v>52</v>
      </c>
      <c r="D26" s="12">
        <v>37</v>
      </c>
      <c r="E26" s="12">
        <v>34</v>
      </c>
      <c r="F26" s="12">
        <v>20</v>
      </c>
    </row>
    <row r="27" spans="2:6" ht="14.1" customHeight="1" x14ac:dyDescent="0.2">
      <c r="B27" s="12">
        <v>47</v>
      </c>
      <c r="C27" s="12">
        <v>58</v>
      </c>
      <c r="D27" s="12">
        <v>41</v>
      </c>
      <c r="E27" s="12">
        <v>38</v>
      </c>
      <c r="F27" s="12">
        <v>22</v>
      </c>
    </row>
    <row r="28" spans="2:6" ht="14.1" customHeight="1" x14ac:dyDescent="0.2">
      <c r="B28" s="12">
        <v>48</v>
      </c>
      <c r="C28" s="12">
        <v>65</v>
      </c>
      <c r="D28" s="12">
        <v>46</v>
      </c>
      <c r="E28" s="12">
        <v>43</v>
      </c>
      <c r="F28" s="12">
        <v>25</v>
      </c>
    </row>
    <row r="29" spans="2:6" ht="14.1" customHeight="1" x14ac:dyDescent="0.2">
      <c r="B29" s="12">
        <v>49</v>
      </c>
      <c r="C29" s="12">
        <v>73</v>
      </c>
      <c r="D29" s="12">
        <v>52</v>
      </c>
      <c r="E29" s="12">
        <v>48</v>
      </c>
      <c r="F29" s="12">
        <v>28</v>
      </c>
    </row>
    <row r="30" spans="2:6" ht="14.1" customHeight="1" x14ac:dyDescent="0.2">
      <c r="B30" s="12">
        <v>50</v>
      </c>
      <c r="C30" s="12">
        <v>83</v>
      </c>
      <c r="D30" s="12">
        <v>58</v>
      </c>
      <c r="E30" s="12">
        <v>54</v>
      </c>
      <c r="F30" s="12">
        <v>31</v>
      </c>
    </row>
    <row r="31" spans="2:6" ht="14.1" customHeight="1" x14ac:dyDescent="0.2">
      <c r="B31" s="12">
        <v>51</v>
      </c>
      <c r="C31" s="12">
        <v>93</v>
      </c>
      <c r="D31" s="12">
        <v>65</v>
      </c>
      <c r="E31" s="12">
        <v>61</v>
      </c>
      <c r="F31" s="12">
        <v>35</v>
      </c>
    </row>
    <row r="32" spans="2:6" ht="14.1" customHeight="1" x14ac:dyDescent="0.2">
      <c r="B32" s="12">
        <v>52</v>
      </c>
      <c r="C32" s="12">
        <v>104</v>
      </c>
      <c r="D32" s="12">
        <v>73</v>
      </c>
      <c r="E32" s="12">
        <v>68</v>
      </c>
      <c r="F32" s="12">
        <v>40</v>
      </c>
    </row>
    <row r="33" spans="2:6" ht="14.1" customHeight="1" x14ac:dyDescent="0.2">
      <c r="B33" s="12">
        <v>53</v>
      </c>
      <c r="C33" s="12">
        <v>116</v>
      </c>
      <c r="D33" s="12">
        <v>83</v>
      </c>
      <c r="E33" s="12">
        <v>76</v>
      </c>
      <c r="F33" s="12">
        <v>45</v>
      </c>
    </row>
    <row r="34" spans="2:6" ht="14.1" customHeight="1" x14ac:dyDescent="0.2">
      <c r="B34" s="12">
        <v>54</v>
      </c>
      <c r="C34" s="12">
        <v>131</v>
      </c>
      <c r="D34" s="12">
        <v>93</v>
      </c>
      <c r="E34" s="12">
        <v>86</v>
      </c>
      <c r="F34" s="12">
        <v>50</v>
      </c>
    </row>
    <row r="35" spans="2:6" ht="14.1" customHeight="1" x14ac:dyDescent="0.2">
      <c r="B35" s="12">
        <v>55</v>
      </c>
      <c r="C35" s="12">
        <v>147</v>
      </c>
      <c r="D35" s="12">
        <v>104</v>
      </c>
      <c r="E35" s="12">
        <v>96</v>
      </c>
      <c r="F35" s="12">
        <v>56</v>
      </c>
    </row>
    <row r="36" spans="2:6" ht="14.1" customHeight="1" x14ac:dyDescent="0.2">
      <c r="B36" s="12">
        <v>56</v>
      </c>
      <c r="C36" s="12">
        <v>165</v>
      </c>
      <c r="D36" s="12">
        <v>116</v>
      </c>
      <c r="E36" s="12">
        <v>108</v>
      </c>
      <c r="F36" s="12">
        <v>63</v>
      </c>
    </row>
    <row r="37" spans="2:6" ht="14.1" customHeight="1" x14ac:dyDescent="0.2">
      <c r="B37" s="12">
        <v>57</v>
      </c>
      <c r="C37" s="12">
        <v>185</v>
      </c>
      <c r="D37" s="12">
        <v>131</v>
      </c>
      <c r="E37" s="12">
        <v>121</v>
      </c>
      <c r="F37" s="12">
        <v>71</v>
      </c>
    </row>
    <row r="38" spans="2:6" ht="14.1" customHeight="1" x14ac:dyDescent="0.2">
      <c r="B38" s="12">
        <v>58</v>
      </c>
      <c r="C38" s="12">
        <v>208</v>
      </c>
      <c r="D38" s="12">
        <v>147</v>
      </c>
      <c r="E38" s="12">
        <v>136</v>
      </c>
      <c r="F38" s="12">
        <v>80</v>
      </c>
    </row>
    <row r="39" spans="2:6" ht="14.1" customHeight="1" x14ac:dyDescent="0.2">
      <c r="B39" s="12">
        <v>59</v>
      </c>
      <c r="C39" s="12">
        <v>233</v>
      </c>
      <c r="D39" s="12">
        <v>165</v>
      </c>
      <c r="E39" s="12">
        <v>153</v>
      </c>
      <c r="F39" s="12">
        <v>89</v>
      </c>
    </row>
    <row r="40" spans="2:6" ht="14.1" customHeight="1" x14ac:dyDescent="0.2">
      <c r="B40" s="12">
        <v>60</v>
      </c>
      <c r="C40" s="12">
        <v>262</v>
      </c>
      <c r="D40" s="12">
        <v>185</v>
      </c>
      <c r="E40" s="12">
        <v>172</v>
      </c>
      <c r="F40" s="12">
        <v>100</v>
      </c>
    </row>
    <row r="41" spans="2:6" ht="14.1" customHeight="1" x14ac:dyDescent="0.2">
      <c r="B41" s="12">
        <v>61</v>
      </c>
      <c r="C41" s="12">
        <v>294</v>
      </c>
      <c r="D41" s="12">
        <v>208</v>
      </c>
      <c r="E41" s="12">
        <v>193</v>
      </c>
      <c r="F41" s="12">
        <v>113</v>
      </c>
    </row>
    <row r="42" spans="2:6" ht="14.1" customHeight="1" x14ac:dyDescent="0.2">
      <c r="B42" s="12">
        <v>62</v>
      </c>
      <c r="C42" s="12">
        <v>330</v>
      </c>
      <c r="D42" s="12">
        <v>233</v>
      </c>
      <c r="E42" s="12">
        <v>216</v>
      </c>
      <c r="F42" s="12">
        <v>127</v>
      </c>
    </row>
    <row r="43" spans="2:6" ht="14.1" customHeight="1" x14ac:dyDescent="0.2">
      <c r="B43" s="12">
        <v>63</v>
      </c>
      <c r="C43" s="12">
        <v>370</v>
      </c>
      <c r="D43" s="12">
        <v>262</v>
      </c>
      <c r="E43" s="12">
        <v>243</v>
      </c>
      <c r="F43" s="12">
        <v>142</v>
      </c>
    </row>
    <row r="44" spans="2:6" ht="14.1" customHeight="1" x14ac:dyDescent="0.2">
      <c r="B44" s="12">
        <v>64</v>
      </c>
      <c r="C44" s="12">
        <v>415</v>
      </c>
      <c r="D44" s="12">
        <v>294</v>
      </c>
      <c r="E44" s="12">
        <v>273</v>
      </c>
      <c r="F44" s="12">
        <v>159</v>
      </c>
    </row>
    <row r="45" spans="2:6" ht="14.1" customHeight="1" x14ac:dyDescent="0.2">
      <c r="B45" s="12">
        <v>65</v>
      </c>
      <c r="C45" s="12">
        <v>466</v>
      </c>
      <c r="D45" s="12">
        <v>330</v>
      </c>
      <c r="E45" s="12">
        <v>306</v>
      </c>
      <c r="F45" s="12">
        <v>179</v>
      </c>
    </row>
    <row r="46" spans="2:6" ht="14.1" customHeight="1" x14ac:dyDescent="0.2">
      <c r="B46" s="12">
        <v>66</v>
      </c>
      <c r="C46" s="12">
        <v>523</v>
      </c>
      <c r="D46" s="12">
        <v>370</v>
      </c>
      <c r="E46" s="12">
        <v>343</v>
      </c>
      <c r="F46" s="12">
        <v>201</v>
      </c>
    </row>
    <row r="47" spans="2:6" ht="14.1" customHeight="1" x14ac:dyDescent="0.2">
      <c r="B47" s="12">
        <v>67</v>
      </c>
      <c r="C47" s="12">
        <v>586</v>
      </c>
      <c r="D47" s="12">
        <v>415</v>
      </c>
      <c r="E47" s="12">
        <v>385</v>
      </c>
      <c r="F47" s="12">
        <v>225</v>
      </c>
    </row>
    <row r="48" spans="2:6" ht="14.1" customHeight="1" x14ac:dyDescent="0.2">
      <c r="B48" s="12">
        <v>68</v>
      </c>
      <c r="C48" s="12">
        <v>658</v>
      </c>
      <c r="D48" s="12">
        <v>466</v>
      </c>
      <c r="E48" s="12">
        <v>432</v>
      </c>
      <c r="F48" s="12">
        <v>253</v>
      </c>
    </row>
    <row r="49" spans="2:6" ht="14.1" customHeight="1" x14ac:dyDescent="0.2">
      <c r="B49" s="12">
        <v>69</v>
      </c>
      <c r="C49" s="12">
        <v>738</v>
      </c>
      <c r="D49" s="12">
        <v>523</v>
      </c>
      <c r="E49" s="12">
        <v>485</v>
      </c>
      <c r="F49" s="12">
        <v>284</v>
      </c>
    </row>
    <row r="50" spans="2:6" ht="14.1" customHeight="1" x14ac:dyDescent="0.2">
      <c r="B50" s="12">
        <v>70</v>
      </c>
      <c r="C50" s="12">
        <v>828</v>
      </c>
      <c r="D50" s="12">
        <v>586</v>
      </c>
      <c r="E50" s="12">
        <v>544</v>
      </c>
      <c r="F50" s="12">
        <v>319</v>
      </c>
    </row>
    <row r="51" spans="2:6" ht="14.1" customHeight="1" x14ac:dyDescent="0.2">
      <c r="B51" s="12">
        <v>71</v>
      </c>
      <c r="C51" s="12">
        <v>930</v>
      </c>
      <c r="D51" s="12">
        <v>658</v>
      </c>
      <c r="E51" s="12">
        <v>611</v>
      </c>
      <c r="F51" s="12">
        <v>358</v>
      </c>
    </row>
    <row r="52" spans="2:6" ht="14.1" customHeight="1" x14ac:dyDescent="0.2">
      <c r="B52" s="12">
        <v>72</v>
      </c>
      <c r="C52" s="12">
        <v>1043</v>
      </c>
      <c r="D52" s="12">
        <v>738</v>
      </c>
      <c r="E52" s="12">
        <v>686</v>
      </c>
      <c r="F52" s="12">
        <v>401</v>
      </c>
    </row>
    <row r="53" spans="2:6" ht="14.1" customHeight="1" x14ac:dyDescent="0.2">
      <c r="B53" s="12">
        <v>73</v>
      </c>
      <c r="C53" s="12">
        <v>1170</v>
      </c>
      <c r="D53" s="12">
        <v>828</v>
      </c>
      <c r="E53" s="12">
        <v>769</v>
      </c>
      <c r="F53" s="12">
        <v>450</v>
      </c>
    </row>
    <row r="54" spans="2:6" ht="14.1" customHeight="1" x14ac:dyDescent="0.2">
      <c r="B54" s="12">
        <v>74</v>
      </c>
      <c r="C54" s="12">
        <v>1313</v>
      </c>
      <c r="D54" s="12">
        <v>930</v>
      </c>
      <c r="E54" s="12">
        <v>863</v>
      </c>
      <c r="F54" s="12">
        <v>505</v>
      </c>
    </row>
    <row r="55" spans="2:6" ht="14.1" customHeight="1" x14ac:dyDescent="0.2">
      <c r="B55" s="12">
        <v>75</v>
      </c>
      <c r="C55" s="12">
        <v>1474</v>
      </c>
      <c r="D55" s="12">
        <v>1043</v>
      </c>
      <c r="E55" s="12">
        <v>969</v>
      </c>
      <c r="F55" s="12">
        <v>567</v>
      </c>
    </row>
    <row r="56" spans="2:6" ht="14.1" customHeight="1" x14ac:dyDescent="0.2">
      <c r="B56" s="12">
        <v>76</v>
      </c>
      <c r="C56" s="12">
        <v>1654</v>
      </c>
      <c r="D56" s="12">
        <v>1170</v>
      </c>
      <c r="E56" s="12">
        <v>1087</v>
      </c>
      <c r="F56" s="12">
        <v>636</v>
      </c>
    </row>
    <row r="57" spans="2:6" ht="14.1" customHeight="1" x14ac:dyDescent="0.2">
      <c r="B57" s="12">
        <v>77</v>
      </c>
      <c r="C57" s="12">
        <v>1855</v>
      </c>
      <c r="D57" s="12">
        <v>1313</v>
      </c>
      <c r="E57" s="12">
        <v>1219</v>
      </c>
      <c r="F57" s="12">
        <v>714</v>
      </c>
    </row>
    <row r="58" spans="2:6" ht="14.1" customHeight="1" x14ac:dyDescent="0.2">
      <c r="B58" s="12">
        <v>78</v>
      </c>
      <c r="C58" s="12">
        <v>2082</v>
      </c>
      <c r="D58" s="12">
        <v>1474</v>
      </c>
      <c r="E58" s="12">
        <v>1368</v>
      </c>
      <c r="F58" s="12">
        <v>801</v>
      </c>
    </row>
    <row r="59" spans="2:6" ht="14.1" customHeight="1" x14ac:dyDescent="0.2">
      <c r="B59" s="12">
        <v>79</v>
      </c>
      <c r="C59" s="12">
        <v>2336</v>
      </c>
      <c r="D59" s="12">
        <v>1654</v>
      </c>
      <c r="E59" s="12">
        <v>1535</v>
      </c>
      <c r="F59" s="12">
        <v>899</v>
      </c>
    </row>
    <row r="60" spans="2:6" ht="14.1" customHeight="1" x14ac:dyDescent="0.2">
      <c r="B60" s="12">
        <v>80</v>
      </c>
      <c r="C60" s="12">
        <v>2621</v>
      </c>
      <c r="D60" s="12">
        <v>1855</v>
      </c>
      <c r="E60" s="12">
        <v>1723</v>
      </c>
      <c r="F60" s="12">
        <v>1008</v>
      </c>
    </row>
    <row r="61" spans="2:6" ht="14.1" customHeight="1" x14ac:dyDescent="0.2">
      <c r="B61" s="12">
        <v>81</v>
      </c>
      <c r="C61" s="12">
        <v>2941</v>
      </c>
      <c r="D61" s="12">
        <v>2082</v>
      </c>
      <c r="E61" s="12">
        <v>1933</v>
      </c>
      <c r="F61" s="12">
        <v>1132</v>
      </c>
    </row>
    <row r="62" spans="2:6" ht="14.1" customHeight="1" x14ac:dyDescent="0.2">
      <c r="B62" s="12">
        <v>82</v>
      </c>
      <c r="C62" s="12">
        <v>3300</v>
      </c>
      <c r="D62" s="12">
        <v>2336</v>
      </c>
      <c r="E62" s="12">
        <v>2169</v>
      </c>
      <c r="F62" s="12">
        <v>1270</v>
      </c>
    </row>
    <row r="63" spans="2:6" ht="14.1" customHeight="1" x14ac:dyDescent="0.2">
      <c r="B63" s="12">
        <v>83</v>
      </c>
      <c r="C63" s="12">
        <v>3702</v>
      </c>
      <c r="D63" s="12">
        <v>2621</v>
      </c>
      <c r="E63" s="12">
        <v>2434</v>
      </c>
      <c r="F63" s="12">
        <v>1425</v>
      </c>
    </row>
    <row r="64" spans="2:6" ht="14.1" customHeight="1" x14ac:dyDescent="0.2">
      <c r="B64" s="12">
        <v>84</v>
      </c>
      <c r="C64" s="12">
        <v>4154</v>
      </c>
      <c r="D64" s="12">
        <v>2941</v>
      </c>
      <c r="E64" s="12">
        <v>2731</v>
      </c>
      <c r="F64" s="12">
        <v>1599</v>
      </c>
    </row>
    <row r="65" spans="2:6" ht="14.1" customHeight="1" x14ac:dyDescent="0.2">
      <c r="B65" s="12">
        <v>85</v>
      </c>
      <c r="C65" s="12">
        <v>4661</v>
      </c>
      <c r="D65" s="12">
        <v>3300</v>
      </c>
      <c r="E65" s="12">
        <v>3064</v>
      </c>
      <c r="F65" s="12">
        <v>1794</v>
      </c>
    </row>
    <row r="66" spans="2:6" ht="14.1" customHeight="1" x14ac:dyDescent="0.2">
      <c r="B66" s="12">
        <v>86</v>
      </c>
      <c r="C66" s="12">
        <v>5230</v>
      </c>
      <c r="D66" s="12">
        <v>3702</v>
      </c>
      <c r="E66" s="12">
        <v>3438</v>
      </c>
      <c r="F66" s="12">
        <v>2013</v>
      </c>
    </row>
    <row r="67" spans="2:6" ht="14.1" customHeight="1" x14ac:dyDescent="0.2">
      <c r="B67" s="12">
        <v>87</v>
      </c>
      <c r="C67" s="12">
        <v>5868</v>
      </c>
      <c r="D67" s="12">
        <v>4154</v>
      </c>
      <c r="E67" s="12">
        <v>3857</v>
      </c>
      <c r="F67" s="12">
        <v>2258</v>
      </c>
    </row>
    <row r="68" spans="2:6" ht="14.1" customHeight="1" x14ac:dyDescent="0.2">
      <c r="B68" s="12">
        <v>88</v>
      </c>
      <c r="C68" s="12">
        <v>6564</v>
      </c>
      <c r="D68" s="12">
        <v>4661</v>
      </c>
      <c r="E68" s="12">
        <v>4328</v>
      </c>
      <c r="F68" s="12">
        <v>2534</v>
      </c>
    </row>
    <row r="69" spans="2:6" ht="14.1" customHeight="1" x14ac:dyDescent="0.2">
      <c r="B69" s="12">
        <v>89</v>
      </c>
      <c r="C69" s="12">
        <v>7388</v>
      </c>
      <c r="D69" s="12">
        <v>5230</v>
      </c>
      <c r="E69" s="12">
        <v>4856</v>
      </c>
      <c r="F69" s="12">
        <v>2843</v>
      </c>
    </row>
    <row r="70" spans="2:6" ht="14.1" customHeight="1" x14ac:dyDescent="0.2">
      <c r="B70" s="12">
        <v>90</v>
      </c>
      <c r="C70" s="12">
        <v>8289</v>
      </c>
      <c r="D70" s="12">
        <v>5868</v>
      </c>
      <c r="E70" s="12">
        <v>5449</v>
      </c>
      <c r="F70" s="12">
        <v>3190</v>
      </c>
    </row>
    <row r="71" spans="2:6" ht="14.1" customHeight="1" x14ac:dyDescent="0.2">
      <c r="B71" s="12">
        <v>91</v>
      </c>
      <c r="C71" s="12">
        <v>9301</v>
      </c>
      <c r="D71" s="12">
        <v>6564</v>
      </c>
      <c r="E71" s="12">
        <v>6114</v>
      </c>
      <c r="F71" s="12">
        <v>3580</v>
      </c>
    </row>
    <row r="72" spans="2:6" ht="14.1" customHeight="1" x14ac:dyDescent="0.2">
      <c r="B72" s="12">
        <v>92</v>
      </c>
      <c r="C72" s="12">
        <v>10436</v>
      </c>
      <c r="D72" s="12">
        <v>7388</v>
      </c>
      <c r="E72" s="12">
        <v>6860</v>
      </c>
      <c r="F72" s="12">
        <v>4016</v>
      </c>
    </row>
    <row r="73" spans="2:6" ht="14.1" customHeight="1" x14ac:dyDescent="0.2">
      <c r="B73" s="12">
        <v>93</v>
      </c>
      <c r="C73" s="12">
        <v>11709</v>
      </c>
      <c r="D73" s="12">
        <v>8289</v>
      </c>
      <c r="E73" s="12">
        <v>7697</v>
      </c>
      <c r="F73" s="12">
        <v>4507</v>
      </c>
    </row>
    <row r="74" spans="2:6" ht="14.1" customHeight="1" x14ac:dyDescent="0.2">
      <c r="B74" s="12">
        <v>94</v>
      </c>
      <c r="C74" s="12">
        <v>13138</v>
      </c>
      <c r="D74" s="12">
        <v>9301</v>
      </c>
      <c r="E74" s="12">
        <v>8636</v>
      </c>
      <c r="F74" s="12">
        <v>5056</v>
      </c>
    </row>
    <row r="75" spans="2:6" ht="14.1" customHeight="1" x14ac:dyDescent="0.2">
      <c r="B75" s="12">
        <v>95</v>
      </c>
      <c r="C75" s="12">
        <v>14741</v>
      </c>
      <c r="D75" s="12">
        <v>10436</v>
      </c>
      <c r="E75" s="12">
        <v>9690</v>
      </c>
      <c r="F75" s="12">
        <v>5673</v>
      </c>
    </row>
    <row r="76" spans="2:6" ht="14.1" customHeight="1" x14ac:dyDescent="0.2">
      <c r="B76" s="12">
        <v>96</v>
      </c>
      <c r="C76" s="12">
        <v>16540</v>
      </c>
      <c r="D76" s="12">
        <v>11709</v>
      </c>
      <c r="E76" s="12">
        <v>10872</v>
      </c>
      <c r="F76" s="12">
        <v>6366</v>
      </c>
    </row>
    <row r="77" spans="2:6" ht="14.1" customHeight="1" x14ac:dyDescent="0.2">
      <c r="B77" s="12">
        <v>97</v>
      </c>
      <c r="C77" s="12">
        <v>18558</v>
      </c>
      <c r="D77" s="12">
        <v>13138</v>
      </c>
      <c r="E77" s="12">
        <v>12199</v>
      </c>
      <c r="F77" s="12">
        <v>7143</v>
      </c>
    </row>
    <row r="78" spans="2:6" ht="14.1" customHeight="1" x14ac:dyDescent="0.2">
      <c r="B78" s="12">
        <v>98</v>
      </c>
      <c r="C78" s="12">
        <v>20822</v>
      </c>
      <c r="D78" s="12">
        <v>14741</v>
      </c>
      <c r="E78" s="12">
        <v>13687</v>
      </c>
      <c r="F78" s="12">
        <v>8014</v>
      </c>
    </row>
    <row r="79" spans="2:6" ht="14.1" customHeight="1" x14ac:dyDescent="0.2">
      <c r="B79" s="12">
        <v>99</v>
      </c>
      <c r="C79" s="12">
        <v>23363</v>
      </c>
      <c r="D79" s="12">
        <v>16540</v>
      </c>
      <c r="E79" s="12">
        <v>15358</v>
      </c>
      <c r="F79" s="12">
        <v>8992</v>
      </c>
    </row>
    <row r="80" spans="2:6" ht="14.1" customHeight="1" x14ac:dyDescent="0.2">
      <c r="B80" s="12">
        <v>100</v>
      </c>
      <c r="C80" s="12">
        <v>26214</v>
      </c>
      <c r="D80" s="12">
        <v>18558</v>
      </c>
      <c r="E80" s="12">
        <v>17232</v>
      </c>
      <c r="F80" s="12">
        <v>10089</v>
      </c>
    </row>
    <row r="81" spans="2:6" ht="14.1" customHeight="1" x14ac:dyDescent="0.2">
      <c r="B81" s="12">
        <v>101</v>
      </c>
      <c r="C81" s="12">
        <v>29413</v>
      </c>
      <c r="D81" s="12">
        <v>20822</v>
      </c>
      <c r="E81" s="12">
        <v>19334</v>
      </c>
      <c r="F81" s="12">
        <v>11321</v>
      </c>
    </row>
    <row r="82" spans="2:6" ht="14.1" customHeight="1" x14ac:dyDescent="0.2">
      <c r="B82" s="12">
        <v>102</v>
      </c>
      <c r="C82" s="12">
        <v>33001</v>
      </c>
      <c r="D82" s="12">
        <v>23363</v>
      </c>
      <c r="E82" s="12">
        <v>21693</v>
      </c>
      <c r="F82" s="12">
        <v>12702</v>
      </c>
    </row>
    <row r="83" spans="2:6" ht="14.1" customHeight="1" x14ac:dyDescent="0.2">
      <c r="B83" s="12">
        <v>103</v>
      </c>
      <c r="C83" s="12">
        <v>37028</v>
      </c>
      <c r="D83" s="12">
        <v>26214</v>
      </c>
      <c r="E83" s="12">
        <v>24340</v>
      </c>
      <c r="F83" s="12">
        <v>14252</v>
      </c>
    </row>
    <row r="84" spans="2:6" ht="14.1" customHeight="1" x14ac:dyDescent="0.2">
      <c r="B84" s="12">
        <v>104</v>
      </c>
      <c r="C84" s="12">
        <v>41547</v>
      </c>
      <c r="D84" s="12">
        <v>29413</v>
      </c>
      <c r="E84" s="12">
        <v>27311</v>
      </c>
      <c r="F84" s="12">
        <v>15991</v>
      </c>
    </row>
    <row r="85" spans="2:6" ht="14.1" customHeight="1" x14ac:dyDescent="0.2">
      <c r="B85" s="12">
        <v>105</v>
      </c>
      <c r="C85" s="12">
        <v>46616</v>
      </c>
      <c r="D85" s="12">
        <v>33001</v>
      </c>
      <c r="E85" s="12">
        <v>30643</v>
      </c>
      <c r="F85" s="12">
        <v>17942</v>
      </c>
    </row>
    <row r="86" spans="2:6" ht="14.1" customHeight="1" x14ac:dyDescent="0.2">
      <c r="B86" s="12">
        <v>106</v>
      </c>
      <c r="C86" s="12">
        <v>52304</v>
      </c>
      <c r="D86" s="12">
        <v>37028</v>
      </c>
      <c r="E86" s="12">
        <v>34382</v>
      </c>
      <c r="F86" s="12">
        <v>20132</v>
      </c>
    </row>
    <row r="87" spans="2:6" ht="14.1" customHeight="1" x14ac:dyDescent="0.2">
      <c r="B87" s="12">
        <v>107</v>
      </c>
      <c r="C87" s="12">
        <v>58686</v>
      </c>
      <c r="D87" s="12">
        <v>41547</v>
      </c>
      <c r="E87" s="12">
        <v>38577</v>
      </c>
      <c r="F87" s="12">
        <v>22588</v>
      </c>
    </row>
    <row r="88" spans="2:6" ht="14.1" customHeight="1" x14ac:dyDescent="0.2">
      <c r="B88" s="12">
        <v>108</v>
      </c>
      <c r="C88" s="12">
        <v>65847</v>
      </c>
      <c r="D88" s="12">
        <v>46616</v>
      </c>
      <c r="E88" s="12">
        <v>43285</v>
      </c>
      <c r="F88" s="12">
        <v>25344</v>
      </c>
    </row>
    <row r="89" spans="2:6" ht="14.1" customHeight="1" x14ac:dyDescent="0.2">
      <c r="B89" s="12">
        <v>109</v>
      </c>
      <c r="C89" s="12">
        <v>73882</v>
      </c>
      <c r="D89" s="12">
        <v>52304</v>
      </c>
      <c r="E89" s="12">
        <v>48566</v>
      </c>
      <c r="F89" s="12">
        <v>28437</v>
      </c>
    </row>
    <row r="90" spans="2:6" ht="14.1" customHeight="1" x14ac:dyDescent="0.2">
      <c r="B90" s="12">
        <v>110</v>
      </c>
      <c r="C90" s="12">
        <v>82897</v>
      </c>
      <c r="D90" s="12">
        <v>58686</v>
      </c>
      <c r="E90" s="12">
        <v>54492</v>
      </c>
      <c r="F90" s="12">
        <v>31907</v>
      </c>
    </row>
    <row r="91" spans="2:6" ht="14.1" customHeight="1" x14ac:dyDescent="0.2">
      <c r="B91" s="12">
        <v>111</v>
      </c>
      <c r="C91" s="12">
        <v>93012</v>
      </c>
      <c r="D91" s="12">
        <v>65847</v>
      </c>
      <c r="E91" s="12">
        <v>61141</v>
      </c>
      <c r="F91" s="12">
        <v>35800</v>
      </c>
    </row>
    <row r="92" spans="2:6" ht="14.1" customHeight="1" x14ac:dyDescent="0.2">
      <c r="B92" s="12">
        <v>112</v>
      </c>
      <c r="C92" s="12">
        <v>104361</v>
      </c>
      <c r="D92" s="12">
        <v>73882</v>
      </c>
      <c r="E92" s="12">
        <v>68602</v>
      </c>
      <c r="F92" s="12">
        <v>40168</v>
      </c>
    </row>
    <row r="93" spans="2:6" ht="14.1" customHeight="1" x14ac:dyDescent="0.2">
      <c r="B93" s="12">
        <v>113</v>
      </c>
      <c r="C93" s="12">
        <v>117095</v>
      </c>
      <c r="D93" s="12">
        <v>82897</v>
      </c>
      <c r="E93" s="12">
        <v>76972</v>
      </c>
      <c r="F93" s="12">
        <v>45070</v>
      </c>
    </row>
    <row r="94" spans="2:6" ht="14.1" customHeight="1" x14ac:dyDescent="0.2">
      <c r="B94" s="12">
        <v>114</v>
      </c>
      <c r="C94" s="12">
        <v>131383</v>
      </c>
      <c r="D94" s="12">
        <v>93012</v>
      </c>
      <c r="E94" s="12">
        <v>86365</v>
      </c>
      <c r="F94" s="12">
        <v>50569</v>
      </c>
    </row>
    <row r="95" spans="2:6" ht="13.5" x14ac:dyDescent="0.2">
      <c r="B95" s="12">
        <v>115</v>
      </c>
      <c r="C95" s="12">
        <v>147414</v>
      </c>
      <c r="D95" s="12">
        <v>104361</v>
      </c>
      <c r="E95" s="12">
        <v>96903</v>
      </c>
      <c r="F95" s="12">
        <v>56739</v>
      </c>
    </row>
    <row r="96" spans="2:6" ht="13.5" x14ac:dyDescent="0.2">
      <c r="B96" s="12">
        <v>116</v>
      </c>
      <c r="C96" s="12">
        <v>165401</v>
      </c>
      <c r="D96" s="12">
        <v>117095</v>
      </c>
      <c r="E96" s="12">
        <v>108727</v>
      </c>
      <c r="F96" s="12">
        <v>63663</v>
      </c>
    </row>
    <row r="97" spans="2:6" ht="13.5" x14ac:dyDescent="0.2">
      <c r="B97" s="12">
        <v>117</v>
      </c>
      <c r="C97" s="12">
        <v>185583</v>
      </c>
      <c r="D97" s="12">
        <v>131383</v>
      </c>
      <c r="E97" s="12">
        <v>121993</v>
      </c>
      <c r="F97" s="12">
        <v>71431</v>
      </c>
    </row>
    <row r="98" spans="2:6" ht="13.5" x14ac:dyDescent="0.2">
      <c r="B98" s="12">
        <v>118</v>
      </c>
      <c r="C98" s="12">
        <v>208228</v>
      </c>
      <c r="D98" s="12">
        <v>147414</v>
      </c>
      <c r="E98" s="12">
        <v>136879</v>
      </c>
      <c r="F98" s="12">
        <v>80147</v>
      </c>
    </row>
    <row r="99" spans="2:6" ht="13.5" x14ac:dyDescent="0.2">
      <c r="B99" s="12">
        <v>119</v>
      </c>
      <c r="C99" s="12">
        <v>233636</v>
      </c>
      <c r="D99" s="12">
        <v>165401</v>
      </c>
      <c r="E99" s="12">
        <v>153581</v>
      </c>
      <c r="F99" s="12">
        <v>89926</v>
      </c>
    </row>
    <row r="100" spans="2:6" ht="13.5" x14ac:dyDescent="0.2">
      <c r="B100" s="12">
        <v>120</v>
      </c>
      <c r="C100" s="12">
        <v>262143</v>
      </c>
      <c r="D100" s="12">
        <v>185583</v>
      </c>
      <c r="E100" s="12">
        <v>172321</v>
      </c>
      <c r="F100" s="12">
        <v>100899</v>
      </c>
    </row>
  </sheetData>
  <mergeCells count="2">
    <mergeCell ref="B2:F2"/>
    <mergeCell ref="B4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8"/>
  <sheetViews>
    <sheetView topLeftCell="I1" workbookViewId="0">
      <selection activeCell="AH3" sqref="AH3:AI18"/>
    </sheetView>
  </sheetViews>
  <sheetFormatPr defaultColWidth="8.625" defaultRowHeight="14.1" customHeight="1" x14ac:dyDescent="0.3"/>
  <cols>
    <col min="1" max="1" width="4.625" style="1" customWidth="1"/>
    <col min="2" max="3" width="8.625" style="1"/>
    <col min="4" max="4" width="4.625" style="1" customWidth="1"/>
    <col min="5" max="14" width="8.625" style="1"/>
    <col min="15" max="15" width="4.625" style="1" customWidth="1"/>
    <col min="16" max="16384" width="8.625" style="1"/>
  </cols>
  <sheetData>
    <row r="2" spans="2:35" ht="14.1" customHeight="1" x14ac:dyDescent="0.3">
      <c r="E2" s="18" t="s">
        <v>14</v>
      </c>
      <c r="F2" s="18"/>
      <c r="G2" s="18"/>
      <c r="H2" s="18"/>
      <c r="I2" s="18"/>
      <c r="J2" s="18"/>
      <c r="K2" s="18"/>
      <c r="L2" s="18"/>
      <c r="M2" s="18"/>
      <c r="N2" s="18"/>
      <c r="P2" s="21" t="s">
        <v>13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35" ht="14.1" customHeight="1" x14ac:dyDescent="0.3">
      <c r="B3" s="8" t="s">
        <v>0</v>
      </c>
      <c r="C3" s="8" t="s">
        <v>9</v>
      </c>
      <c r="E3" s="19" t="s">
        <v>1</v>
      </c>
      <c r="F3" s="19"/>
      <c r="G3" s="19" t="s">
        <v>2</v>
      </c>
      <c r="H3" s="19"/>
      <c r="I3" s="19" t="s">
        <v>3</v>
      </c>
      <c r="J3" s="19"/>
      <c r="K3" s="19" t="s">
        <v>4</v>
      </c>
      <c r="L3" s="19"/>
      <c r="M3" s="19">
        <v>5020</v>
      </c>
      <c r="N3" s="19"/>
      <c r="P3" s="20" t="s">
        <v>5</v>
      </c>
      <c r="Q3" s="20"/>
      <c r="R3" s="20" t="s">
        <v>10</v>
      </c>
      <c r="S3" s="20"/>
      <c r="T3" s="20" t="s">
        <v>6</v>
      </c>
      <c r="U3" s="20"/>
      <c r="V3" s="20" t="s">
        <v>7</v>
      </c>
      <c r="W3" s="20"/>
      <c r="X3" s="20" t="s">
        <v>8</v>
      </c>
      <c r="Y3" s="20"/>
      <c r="Z3" s="16" t="s">
        <v>5</v>
      </c>
      <c r="AA3" s="17"/>
      <c r="AB3" s="20" t="s">
        <v>15</v>
      </c>
      <c r="AC3" s="20"/>
      <c r="AD3" s="16" t="s">
        <v>16</v>
      </c>
      <c r="AE3" s="17"/>
      <c r="AF3" s="16" t="s">
        <v>26</v>
      </c>
      <c r="AG3" s="17"/>
      <c r="AH3" s="16" t="s">
        <v>29</v>
      </c>
      <c r="AI3" s="17"/>
    </row>
    <row r="4" spans="2:35" ht="11.25" x14ac:dyDescent="0.3">
      <c r="B4" s="2">
        <v>45</v>
      </c>
      <c r="C4" s="2">
        <v>23.6</v>
      </c>
      <c r="E4" s="4" t="s">
        <v>11</v>
      </c>
      <c r="F4" s="4" t="s">
        <v>12</v>
      </c>
      <c r="G4" s="4" t="s">
        <v>11</v>
      </c>
      <c r="H4" s="4" t="s">
        <v>12</v>
      </c>
      <c r="I4" s="4" t="s">
        <v>11</v>
      </c>
      <c r="J4" s="4" t="s">
        <v>12</v>
      </c>
      <c r="K4" s="4" t="s">
        <v>11</v>
      </c>
      <c r="L4" s="4" t="s">
        <v>12</v>
      </c>
      <c r="M4" s="4" t="s">
        <v>11</v>
      </c>
      <c r="N4" s="4" t="s">
        <v>12</v>
      </c>
      <c r="P4" s="5" t="s">
        <v>11</v>
      </c>
      <c r="Q4" s="5" t="s">
        <v>12</v>
      </c>
      <c r="R4" s="5" t="s">
        <v>11</v>
      </c>
      <c r="S4" s="5" t="s">
        <v>12</v>
      </c>
      <c r="T4" s="5" t="s">
        <v>11</v>
      </c>
      <c r="U4" s="5" t="s">
        <v>12</v>
      </c>
      <c r="V4" s="5" t="s">
        <v>11</v>
      </c>
      <c r="W4" s="5" t="s">
        <v>12</v>
      </c>
      <c r="X4" s="5" t="s">
        <v>11</v>
      </c>
      <c r="Y4" s="5" t="s">
        <v>12</v>
      </c>
      <c r="Z4" s="5" t="s">
        <v>11</v>
      </c>
      <c r="AA4" s="5" t="s">
        <v>12</v>
      </c>
      <c r="AB4" s="5" t="s">
        <v>11</v>
      </c>
      <c r="AC4" s="5" t="s">
        <v>12</v>
      </c>
      <c r="AD4" s="5" t="s">
        <v>17</v>
      </c>
      <c r="AE4" s="5" t="s">
        <v>18</v>
      </c>
      <c r="AF4" s="5" t="s">
        <v>27</v>
      </c>
      <c r="AG4" s="5" t="s">
        <v>28</v>
      </c>
      <c r="AH4" s="5" t="s">
        <v>27</v>
      </c>
      <c r="AI4" s="5" t="s">
        <v>28</v>
      </c>
    </row>
    <row r="5" spans="2:35" ht="14.1" customHeight="1" x14ac:dyDescent="0.3">
      <c r="B5" s="2">
        <v>50</v>
      </c>
      <c r="C5" s="2">
        <v>28.7</v>
      </c>
      <c r="E5" s="2">
        <v>117</v>
      </c>
      <c r="F5" s="2">
        <v>49</v>
      </c>
      <c r="G5" s="2">
        <v>105</v>
      </c>
      <c r="H5" s="2">
        <v>49</v>
      </c>
      <c r="I5" s="2">
        <v>78</v>
      </c>
      <c r="J5" s="2">
        <v>46</v>
      </c>
      <c r="K5" s="2">
        <v>87</v>
      </c>
      <c r="L5" s="2">
        <v>47</v>
      </c>
      <c r="M5" s="2">
        <v>71</v>
      </c>
      <c r="N5" s="2">
        <v>45</v>
      </c>
      <c r="P5" s="2">
        <v>94</v>
      </c>
      <c r="Q5" s="2">
        <v>49</v>
      </c>
      <c r="R5" s="6">
        <v>61</v>
      </c>
      <c r="S5" s="6">
        <v>29</v>
      </c>
      <c r="T5" s="7">
        <v>86</v>
      </c>
      <c r="U5" s="7">
        <v>37</v>
      </c>
      <c r="V5" s="2">
        <v>119</v>
      </c>
      <c r="W5" s="2">
        <v>44</v>
      </c>
      <c r="X5" s="2">
        <v>72</v>
      </c>
      <c r="Y5" s="2">
        <v>42</v>
      </c>
      <c r="Z5" s="2">
        <v>94</v>
      </c>
      <c r="AA5" s="2">
        <v>49</v>
      </c>
      <c r="AB5" s="6">
        <v>40</v>
      </c>
      <c r="AC5" s="6">
        <v>24</v>
      </c>
      <c r="AD5" s="10">
        <v>30</v>
      </c>
      <c r="AE5" s="10">
        <v>17</v>
      </c>
      <c r="AF5" s="10">
        <v>54</v>
      </c>
      <c r="AG5" s="10">
        <v>17</v>
      </c>
      <c r="AH5" s="10">
        <v>31</v>
      </c>
      <c r="AI5" s="10">
        <v>10</v>
      </c>
    </row>
    <row r="6" spans="2:35" ht="14.1" customHeight="1" x14ac:dyDescent="0.3">
      <c r="B6" s="2">
        <v>55</v>
      </c>
      <c r="C6" s="2">
        <v>33.9</v>
      </c>
      <c r="E6" s="2">
        <v>110</v>
      </c>
      <c r="F6" s="2">
        <v>71</v>
      </c>
      <c r="G6" s="2">
        <v>105</v>
      </c>
      <c r="H6" s="2">
        <v>71</v>
      </c>
      <c r="I6" s="2">
        <v>94</v>
      </c>
      <c r="J6" s="2">
        <v>68</v>
      </c>
      <c r="K6" s="2">
        <v>93</v>
      </c>
      <c r="L6" s="2">
        <v>70</v>
      </c>
      <c r="M6" s="2">
        <v>90</v>
      </c>
      <c r="N6" s="2">
        <v>68</v>
      </c>
      <c r="P6" s="2">
        <v>106</v>
      </c>
      <c r="Q6" s="2">
        <v>67</v>
      </c>
      <c r="R6" s="6">
        <v>66</v>
      </c>
      <c r="S6" s="6">
        <v>35</v>
      </c>
      <c r="T6" s="7">
        <v>71</v>
      </c>
      <c r="U6" s="7">
        <v>49</v>
      </c>
      <c r="V6" s="2">
        <v>95</v>
      </c>
      <c r="W6" s="2">
        <v>63</v>
      </c>
      <c r="X6" s="2">
        <v>97</v>
      </c>
      <c r="Y6" s="2">
        <v>64</v>
      </c>
      <c r="Z6" s="2">
        <v>106</v>
      </c>
      <c r="AA6" s="2">
        <v>67</v>
      </c>
      <c r="AB6" s="6">
        <v>51</v>
      </c>
      <c r="AC6" s="6">
        <v>33</v>
      </c>
      <c r="AD6" s="10">
        <v>54</v>
      </c>
      <c r="AE6" s="10">
        <v>31</v>
      </c>
      <c r="AF6" s="10">
        <v>96</v>
      </c>
      <c r="AG6" s="10">
        <v>30</v>
      </c>
      <c r="AH6" s="10">
        <v>56</v>
      </c>
      <c r="AI6" s="10">
        <v>17</v>
      </c>
    </row>
    <row r="7" spans="2:35" ht="14.1" customHeight="1" x14ac:dyDescent="0.3">
      <c r="B7" s="2">
        <v>60</v>
      </c>
      <c r="C7" s="2">
        <v>39</v>
      </c>
      <c r="E7" s="2">
        <v>158</v>
      </c>
      <c r="F7" s="2">
        <v>115</v>
      </c>
      <c r="G7" s="2">
        <v>165</v>
      </c>
      <c r="H7" s="2">
        <v>115</v>
      </c>
      <c r="I7" s="2">
        <v>157</v>
      </c>
      <c r="J7" s="2">
        <v>115</v>
      </c>
      <c r="K7" s="2">
        <v>150</v>
      </c>
      <c r="L7" s="2">
        <v>116</v>
      </c>
      <c r="M7" s="2">
        <v>139</v>
      </c>
      <c r="N7" s="2">
        <v>111</v>
      </c>
      <c r="P7" s="2">
        <v>176</v>
      </c>
      <c r="Q7" s="2">
        <v>101</v>
      </c>
      <c r="R7" s="6">
        <v>110</v>
      </c>
      <c r="S7" s="6">
        <v>53</v>
      </c>
      <c r="T7" s="7">
        <v>114</v>
      </c>
      <c r="U7" s="7">
        <v>80</v>
      </c>
      <c r="V7" s="2">
        <v>132</v>
      </c>
      <c r="W7" s="2">
        <v>97</v>
      </c>
      <c r="X7" s="2">
        <v>113</v>
      </c>
      <c r="Y7" s="2">
        <v>94</v>
      </c>
      <c r="Z7" s="2">
        <v>176</v>
      </c>
      <c r="AA7" s="2">
        <v>101</v>
      </c>
      <c r="AB7" s="6"/>
      <c r="AC7" s="6"/>
      <c r="AD7" s="10">
        <v>96</v>
      </c>
      <c r="AE7" s="10">
        <v>56</v>
      </c>
      <c r="AF7" s="10">
        <v>172</v>
      </c>
      <c r="AG7" s="10">
        <v>54</v>
      </c>
      <c r="AH7" s="10">
        <v>100</v>
      </c>
      <c r="AI7" s="10">
        <v>31</v>
      </c>
    </row>
    <row r="8" spans="2:35" ht="14.1" customHeight="1" x14ac:dyDescent="0.3">
      <c r="B8" s="2">
        <v>65</v>
      </c>
      <c r="C8" s="2">
        <v>44</v>
      </c>
      <c r="E8" s="2">
        <v>233</v>
      </c>
      <c r="F8" s="2">
        <v>193</v>
      </c>
      <c r="G8" s="2">
        <v>272</v>
      </c>
      <c r="H8" s="2">
        <v>193</v>
      </c>
      <c r="I8" s="2">
        <v>224</v>
      </c>
      <c r="J8" s="2">
        <v>192</v>
      </c>
      <c r="K8" s="2">
        <v>218</v>
      </c>
      <c r="L8" s="2">
        <v>194</v>
      </c>
      <c r="M8" s="2">
        <v>215</v>
      </c>
      <c r="N8" s="2">
        <v>192</v>
      </c>
      <c r="P8" s="2">
        <v>204</v>
      </c>
      <c r="Q8" s="2">
        <v>161</v>
      </c>
      <c r="R8" s="6">
        <v>123</v>
      </c>
      <c r="S8" s="6">
        <v>87</v>
      </c>
      <c r="T8" s="7">
        <v>160</v>
      </c>
      <c r="U8" s="7">
        <v>135</v>
      </c>
      <c r="V8" s="2">
        <v>217</v>
      </c>
      <c r="W8" s="2">
        <v>162</v>
      </c>
      <c r="X8" s="2">
        <v>196</v>
      </c>
      <c r="Y8" s="2">
        <v>159</v>
      </c>
      <c r="Z8" s="2">
        <v>204</v>
      </c>
      <c r="AA8" s="2">
        <v>161</v>
      </c>
      <c r="AB8" s="6">
        <v>142</v>
      </c>
      <c r="AC8" s="6">
        <v>125</v>
      </c>
      <c r="AD8" s="10">
        <v>172</v>
      </c>
      <c r="AE8" s="10">
        <v>100</v>
      </c>
      <c r="AF8" s="10">
        <v>306</v>
      </c>
      <c r="AG8" s="10">
        <v>96</v>
      </c>
      <c r="AH8" s="10">
        <v>179</v>
      </c>
      <c r="AI8" s="10">
        <v>56</v>
      </c>
    </row>
    <row r="9" spans="2:35" ht="14.1" customHeight="1" x14ac:dyDescent="0.3">
      <c r="B9" s="2">
        <v>70</v>
      </c>
      <c r="C9" s="2">
        <v>49</v>
      </c>
      <c r="E9" s="2">
        <v>491</v>
      </c>
      <c r="F9" s="2">
        <v>338</v>
      </c>
      <c r="G9" s="2">
        <v>362</v>
      </c>
      <c r="H9" s="2">
        <v>330</v>
      </c>
      <c r="I9" s="2">
        <v>359</v>
      </c>
      <c r="J9" s="2">
        <v>329</v>
      </c>
      <c r="K9" s="2">
        <v>365</v>
      </c>
      <c r="L9" s="2">
        <v>334</v>
      </c>
      <c r="M9" s="2">
        <v>365</v>
      </c>
      <c r="N9" s="2">
        <v>334</v>
      </c>
      <c r="P9" s="2">
        <v>332</v>
      </c>
      <c r="Q9" s="2">
        <v>270</v>
      </c>
      <c r="R9" s="6">
        <v>175</v>
      </c>
      <c r="S9" s="6">
        <v>141</v>
      </c>
      <c r="T9" s="7">
        <v>267</v>
      </c>
      <c r="U9" s="7">
        <v>233</v>
      </c>
      <c r="V9" s="2">
        <v>330</v>
      </c>
      <c r="W9" s="2">
        <v>278</v>
      </c>
      <c r="X9" s="2">
        <v>327</v>
      </c>
      <c r="Y9" s="2">
        <v>268</v>
      </c>
      <c r="Z9" s="2">
        <v>332</v>
      </c>
      <c r="AA9" s="2">
        <v>270</v>
      </c>
      <c r="AB9" s="6"/>
      <c r="AC9" s="6"/>
      <c r="AD9" s="10">
        <v>306</v>
      </c>
      <c r="AE9" s="10">
        <v>179</v>
      </c>
      <c r="AF9" s="10">
        <v>544</v>
      </c>
      <c r="AG9" s="10">
        <v>172</v>
      </c>
      <c r="AH9" s="10">
        <v>319</v>
      </c>
      <c r="AI9" s="10">
        <v>100</v>
      </c>
    </row>
    <row r="10" spans="2:35" ht="14.1" customHeight="1" x14ac:dyDescent="0.3">
      <c r="B10" s="2">
        <v>75</v>
      </c>
      <c r="C10" s="2">
        <v>53.9</v>
      </c>
      <c r="E10" s="2">
        <v>673</v>
      </c>
      <c r="F10" s="2">
        <v>583</v>
      </c>
      <c r="G10" s="2">
        <v>626</v>
      </c>
      <c r="H10" s="2">
        <v>577</v>
      </c>
      <c r="I10" s="2">
        <v>613</v>
      </c>
      <c r="J10" s="2">
        <v>574</v>
      </c>
      <c r="K10" s="2">
        <v>613</v>
      </c>
      <c r="L10" s="2">
        <v>583</v>
      </c>
      <c r="M10" s="2">
        <v>599</v>
      </c>
      <c r="N10" s="2">
        <v>579</v>
      </c>
      <c r="P10" s="2">
        <v>518</v>
      </c>
      <c r="Q10" s="2">
        <v>458</v>
      </c>
      <c r="R10" s="6">
        <v>271</v>
      </c>
      <c r="S10" s="6">
        <v>243</v>
      </c>
      <c r="T10" s="7">
        <v>424</v>
      </c>
      <c r="U10" s="7">
        <v>404</v>
      </c>
      <c r="V10" s="2">
        <v>543</v>
      </c>
      <c r="W10" s="2">
        <v>482</v>
      </c>
      <c r="X10" s="2">
        <v>583</v>
      </c>
      <c r="Y10" s="2">
        <v>463</v>
      </c>
      <c r="Z10" s="2">
        <v>518</v>
      </c>
      <c r="AA10" s="2">
        <v>458</v>
      </c>
      <c r="AB10" s="6">
        <v>389</v>
      </c>
      <c r="AC10" s="6">
        <v>389</v>
      </c>
      <c r="AD10" s="10">
        <v>544</v>
      </c>
      <c r="AE10" s="10">
        <v>319</v>
      </c>
      <c r="AF10" s="10">
        <v>969</v>
      </c>
      <c r="AG10" s="10">
        <v>306</v>
      </c>
      <c r="AH10" s="10">
        <v>567</v>
      </c>
      <c r="AI10" s="10">
        <v>179</v>
      </c>
    </row>
    <row r="11" spans="2:35" ht="14.1" customHeight="1" x14ac:dyDescent="0.3">
      <c r="B11" s="2">
        <v>80</v>
      </c>
      <c r="C11" s="2">
        <v>58.8</v>
      </c>
      <c r="E11" s="2">
        <v>1059</v>
      </c>
      <c r="F11" s="2">
        <v>1010</v>
      </c>
      <c r="G11" s="2">
        <v>1046</v>
      </c>
      <c r="H11" s="2">
        <v>1002</v>
      </c>
      <c r="I11" s="2">
        <v>1025</v>
      </c>
      <c r="J11" s="2">
        <v>993</v>
      </c>
      <c r="K11" s="2">
        <v>1047</v>
      </c>
      <c r="L11" s="2">
        <v>1012</v>
      </c>
      <c r="M11" s="2">
        <v>1026</v>
      </c>
      <c r="N11" s="2">
        <v>1002</v>
      </c>
      <c r="P11" s="2">
        <v>859</v>
      </c>
      <c r="Q11" s="2">
        <v>782</v>
      </c>
      <c r="R11" s="6">
        <v>553</v>
      </c>
      <c r="S11" s="6">
        <v>423</v>
      </c>
      <c r="T11" s="7">
        <v>724</v>
      </c>
      <c r="U11" s="7">
        <v>702</v>
      </c>
      <c r="V11" s="2">
        <v>895</v>
      </c>
      <c r="W11" s="2">
        <v>836</v>
      </c>
      <c r="X11" s="2">
        <v>843</v>
      </c>
      <c r="Y11" s="2">
        <v>803</v>
      </c>
      <c r="Z11" s="2">
        <v>859</v>
      </c>
      <c r="AA11" s="2">
        <v>782</v>
      </c>
      <c r="AB11" s="6"/>
      <c r="AC11" s="6"/>
      <c r="AD11" s="10">
        <v>969</v>
      </c>
      <c r="AE11" s="10">
        <v>567</v>
      </c>
      <c r="AF11" s="10">
        <v>1723</v>
      </c>
      <c r="AG11" s="10">
        <v>544</v>
      </c>
      <c r="AH11" s="10">
        <v>1008</v>
      </c>
      <c r="AI11" s="10">
        <v>319</v>
      </c>
    </row>
    <row r="12" spans="2:35" ht="14.1" customHeight="1" x14ac:dyDescent="0.3">
      <c r="B12" s="2">
        <v>85</v>
      </c>
      <c r="C12" s="2">
        <v>63.7</v>
      </c>
      <c r="E12" s="2">
        <v>1837</v>
      </c>
      <c r="F12" s="2">
        <v>1759</v>
      </c>
      <c r="G12" s="2">
        <v>1931</v>
      </c>
      <c r="H12" s="2">
        <v>1744</v>
      </c>
      <c r="I12" s="2">
        <v>1758</v>
      </c>
      <c r="J12" s="2">
        <v>1730</v>
      </c>
      <c r="K12" s="2">
        <v>1785</v>
      </c>
      <c r="L12" s="2">
        <v>1758</v>
      </c>
      <c r="M12" s="2">
        <v>1778</v>
      </c>
      <c r="N12" s="2">
        <v>1746</v>
      </c>
      <c r="P12" s="2">
        <v>1417</v>
      </c>
      <c r="Q12" s="2">
        <v>1348</v>
      </c>
      <c r="R12" s="6">
        <v>769</v>
      </c>
      <c r="S12" s="6">
        <v>724</v>
      </c>
      <c r="T12" s="7">
        <v>1271</v>
      </c>
      <c r="U12" s="7">
        <v>1222</v>
      </c>
      <c r="V12" s="2">
        <v>1523</v>
      </c>
      <c r="W12" s="2">
        <v>1467</v>
      </c>
      <c r="X12" s="2">
        <v>1430</v>
      </c>
      <c r="Y12" s="2">
        <v>1394</v>
      </c>
      <c r="Z12" s="2">
        <v>1417</v>
      </c>
      <c r="AA12" s="2">
        <v>1348</v>
      </c>
      <c r="AB12" s="6">
        <v>1137</v>
      </c>
      <c r="AC12" s="6">
        <v>1118</v>
      </c>
      <c r="AD12" s="10">
        <v>1723</v>
      </c>
      <c r="AE12" s="10">
        <v>1008</v>
      </c>
      <c r="AF12" s="10">
        <v>3064</v>
      </c>
      <c r="AG12" s="10">
        <v>969</v>
      </c>
      <c r="AH12" s="10">
        <v>1794</v>
      </c>
      <c r="AI12" s="10">
        <v>567</v>
      </c>
    </row>
    <row r="13" spans="2:35" ht="14.1" customHeight="1" x14ac:dyDescent="0.3">
      <c r="B13" s="2">
        <v>90</v>
      </c>
      <c r="C13" s="2">
        <v>68.7</v>
      </c>
      <c r="E13" s="2">
        <v>3094</v>
      </c>
      <c r="F13" s="2">
        <v>3050</v>
      </c>
      <c r="G13" s="2">
        <v>3068</v>
      </c>
      <c r="H13" s="2">
        <v>3021</v>
      </c>
      <c r="I13" s="2">
        <v>3043</v>
      </c>
      <c r="J13" s="2">
        <v>3004</v>
      </c>
      <c r="K13" s="2">
        <v>3100</v>
      </c>
      <c r="L13" s="2">
        <v>3063</v>
      </c>
      <c r="M13" s="2">
        <v>3092</v>
      </c>
      <c r="N13" s="2">
        <v>3043</v>
      </c>
      <c r="P13" s="2">
        <v>2398</v>
      </c>
      <c r="Q13" s="2">
        <v>2326</v>
      </c>
      <c r="R13" s="6">
        <v>1280</v>
      </c>
      <c r="S13" s="6">
        <v>1253</v>
      </c>
      <c r="T13" s="7">
        <v>2162</v>
      </c>
      <c r="U13" s="7">
        <v>2127</v>
      </c>
      <c r="V13" s="2">
        <v>2613</v>
      </c>
      <c r="W13" s="2">
        <v>2576</v>
      </c>
      <c r="X13" s="2">
        <v>2466</v>
      </c>
      <c r="Y13" s="2">
        <v>2424</v>
      </c>
      <c r="Z13" s="2">
        <v>2398</v>
      </c>
      <c r="AA13" s="2">
        <v>2326</v>
      </c>
      <c r="AB13" s="6"/>
      <c r="AC13" s="6"/>
      <c r="AD13" s="10">
        <v>3064</v>
      </c>
      <c r="AE13" s="10">
        <v>1794</v>
      </c>
      <c r="AF13" s="10">
        <v>5449</v>
      </c>
      <c r="AG13" s="10">
        <v>1723</v>
      </c>
      <c r="AH13" s="10">
        <v>3190</v>
      </c>
      <c r="AI13" s="10">
        <v>1008</v>
      </c>
    </row>
    <row r="14" spans="2:35" ht="14.1" customHeight="1" x14ac:dyDescent="0.3">
      <c r="B14" s="2">
        <v>95</v>
      </c>
      <c r="C14" s="2">
        <v>73.8</v>
      </c>
      <c r="E14" s="2">
        <v>5429</v>
      </c>
      <c r="F14" s="2">
        <v>5362</v>
      </c>
      <c r="G14" s="2">
        <v>5364</v>
      </c>
      <c r="H14" s="2">
        <v>5305</v>
      </c>
      <c r="I14" s="2">
        <v>5341</v>
      </c>
      <c r="J14" s="2">
        <v>5291</v>
      </c>
      <c r="K14" s="2">
        <v>5468</v>
      </c>
      <c r="L14" s="2">
        <v>5385</v>
      </c>
      <c r="M14" s="2">
        <v>5411</v>
      </c>
      <c r="N14" s="2">
        <v>5350</v>
      </c>
      <c r="P14" s="2">
        <v>4192</v>
      </c>
      <c r="Q14" s="2">
        <v>4067</v>
      </c>
      <c r="R14" s="6">
        <v>2230</v>
      </c>
      <c r="S14" s="6">
        <v>2200</v>
      </c>
      <c r="T14" s="7">
        <v>3774</v>
      </c>
      <c r="U14" s="7">
        <v>3734</v>
      </c>
      <c r="V14" s="2">
        <v>4609</v>
      </c>
      <c r="W14" s="2">
        <v>4544</v>
      </c>
      <c r="X14" s="2">
        <v>4290</v>
      </c>
      <c r="Y14" s="2">
        <v>4249</v>
      </c>
      <c r="Z14" s="2">
        <v>4192</v>
      </c>
      <c r="AA14" s="2">
        <v>4067</v>
      </c>
      <c r="AB14" s="6">
        <v>3428</v>
      </c>
      <c r="AC14" s="6">
        <v>3364</v>
      </c>
      <c r="AD14" s="10">
        <v>5449</v>
      </c>
      <c r="AE14" s="10">
        <v>3190</v>
      </c>
      <c r="AF14" s="10">
        <v>9690</v>
      </c>
      <c r="AG14" s="10">
        <v>3064</v>
      </c>
      <c r="AH14" s="10">
        <v>5673</v>
      </c>
      <c r="AI14" s="10">
        <v>1794</v>
      </c>
    </row>
    <row r="15" spans="2:35" ht="14.1" customHeight="1" x14ac:dyDescent="0.3">
      <c r="B15" s="2">
        <v>100</v>
      </c>
      <c r="C15" s="2">
        <v>79</v>
      </c>
      <c r="E15" s="2">
        <v>9637</v>
      </c>
      <c r="F15" s="2">
        <v>9532</v>
      </c>
      <c r="G15" s="2">
        <v>9532</v>
      </c>
      <c r="H15" s="2">
        <v>9444</v>
      </c>
      <c r="I15" s="2">
        <v>9497</v>
      </c>
      <c r="J15" s="2">
        <v>9395</v>
      </c>
      <c r="K15" s="2">
        <v>9695</v>
      </c>
      <c r="L15" s="2">
        <v>9594</v>
      </c>
      <c r="M15" s="2">
        <v>9611</v>
      </c>
      <c r="N15" s="2">
        <v>9524</v>
      </c>
      <c r="P15" s="2">
        <v>7322</v>
      </c>
      <c r="Q15" s="2">
        <v>7226</v>
      </c>
      <c r="R15" s="6">
        <v>3963</v>
      </c>
      <c r="S15" s="6">
        <v>3901</v>
      </c>
      <c r="T15" s="7">
        <v>6718</v>
      </c>
      <c r="U15" s="7">
        <v>6636</v>
      </c>
      <c r="V15" s="2">
        <v>8141</v>
      </c>
      <c r="W15" s="2">
        <v>8066</v>
      </c>
      <c r="X15" s="2">
        <v>7624</v>
      </c>
      <c r="Y15" s="2">
        <v>7544</v>
      </c>
      <c r="Z15" s="2">
        <v>7322</v>
      </c>
      <c r="AA15" s="2">
        <v>7226</v>
      </c>
      <c r="AB15" s="6"/>
      <c r="AC15" s="6"/>
      <c r="AD15" s="10">
        <v>9690</v>
      </c>
      <c r="AE15" s="10">
        <v>5673</v>
      </c>
      <c r="AF15" s="10">
        <v>17232</v>
      </c>
      <c r="AG15" s="10">
        <v>5449</v>
      </c>
      <c r="AH15" s="10">
        <v>10089</v>
      </c>
      <c r="AI15" s="10">
        <v>3190</v>
      </c>
    </row>
    <row r="16" spans="2:35" ht="14.1" customHeight="1" x14ac:dyDescent="0.3">
      <c r="B16" s="2">
        <v>105</v>
      </c>
      <c r="C16" s="2">
        <v>84.3</v>
      </c>
      <c r="E16" s="2">
        <v>17343</v>
      </c>
      <c r="F16" s="2">
        <v>17135</v>
      </c>
      <c r="G16" s="2">
        <v>17223</v>
      </c>
      <c r="H16" s="2">
        <v>17055</v>
      </c>
      <c r="I16" s="2">
        <v>17153</v>
      </c>
      <c r="J16" s="2">
        <v>16963</v>
      </c>
      <c r="K16" s="2">
        <v>17467</v>
      </c>
      <c r="L16" s="2">
        <v>17293</v>
      </c>
      <c r="M16" s="2">
        <v>17371</v>
      </c>
      <c r="N16" s="2">
        <v>17180</v>
      </c>
      <c r="P16" s="2">
        <v>13179</v>
      </c>
      <c r="Q16" s="2">
        <v>13018</v>
      </c>
      <c r="R16" s="6">
        <v>7060</v>
      </c>
      <c r="S16" s="6">
        <v>6966</v>
      </c>
      <c r="T16" s="7">
        <v>11927</v>
      </c>
      <c r="U16" s="7">
        <v>11835</v>
      </c>
      <c r="V16" s="2">
        <v>14557</v>
      </c>
      <c r="W16" s="2">
        <v>14411</v>
      </c>
      <c r="X16" s="2">
        <v>13748</v>
      </c>
      <c r="Y16" s="2">
        <v>13600</v>
      </c>
      <c r="Z16" s="2">
        <v>13179</v>
      </c>
      <c r="AA16" s="2">
        <v>13018</v>
      </c>
      <c r="AB16" s="6">
        <v>11106</v>
      </c>
      <c r="AC16" s="6">
        <v>11048</v>
      </c>
      <c r="AD16" s="10">
        <v>17232</v>
      </c>
      <c r="AE16" s="10">
        <v>10089</v>
      </c>
      <c r="AF16" s="10">
        <v>30643</v>
      </c>
      <c r="AG16" s="10">
        <v>9690</v>
      </c>
      <c r="AH16" s="10">
        <v>17942</v>
      </c>
      <c r="AI16" s="10">
        <v>5673</v>
      </c>
    </row>
    <row r="17" spans="2:35" ht="14.1" customHeight="1" x14ac:dyDescent="0.3">
      <c r="B17" s="2">
        <v>110</v>
      </c>
      <c r="C17" s="2">
        <v>90</v>
      </c>
      <c r="E17" s="2">
        <v>31764</v>
      </c>
      <c r="F17" s="2">
        <v>31047</v>
      </c>
      <c r="G17" s="2">
        <v>31411</v>
      </c>
      <c r="H17" s="2">
        <v>30904</v>
      </c>
      <c r="I17" s="2">
        <v>31263</v>
      </c>
      <c r="J17" s="2">
        <v>30757</v>
      </c>
      <c r="K17" s="2">
        <v>31861</v>
      </c>
      <c r="L17" s="2">
        <v>31377</v>
      </c>
      <c r="M17" s="2">
        <v>31714</v>
      </c>
      <c r="N17" s="2">
        <v>31077</v>
      </c>
      <c r="P17" s="2">
        <v>24068</v>
      </c>
      <c r="Q17" s="2">
        <v>23626</v>
      </c>
      <c r="R17" s="6">
        <v>12789</v>
      </c>
      <c r="S17" s="6">
        <v>12508</v>
      </c>
      <c r="T17" s="7">
        <v>22193</v>
      </c>
      <c r="U17" s="7">
        <v>21760</v>
      </c>
      <c r="V17" s="2">
        <v>26215</v>
      </c>
      <c r="W17" s="2">
        <v>25885</v>
      </c>
      <c r="X17" s="2">
        <v>25007</v>
      </c>
      <c r="Y17" s="2">
        <v>24610</v>
      </c>
      <c r="Z17" s="2">
        <v>24068</v>
      </c>
      <c r="AA17" s="2">
        <v>23626</v>
      </c>
      <c r="AB17" s="6"/>
      <c r="AC17" s="6"/>
      <c r="AD17" s="10">
        <v>30643</v>
      </c>
      <c r="AE17" s="10">
        <v>17942</v>
      </c>
      <c r="AF17" s="10">
        <v>54492</v>
      </c>
      <c r="AG17" s="10">
        <v>17232</v>
      </c>
      <c r="AH17" s="10">
        <v>31907</v>
      </c>
      <c r="AI17" s="10">
        <v>10089</v>
      </c>
    </row>
    <row r="18" spans="2:35" ht="14.1" customHeight="1" x14ac:dyDescent="0.3">
      <c r="E18" s="2">
        <v>58167</v>
      </c>
      <c r="F18" s="2">
        <v>55417</v>
      </c>
      <c r="G18" s="2">
        <v>59152</v>
      </c>
      <c r="H18" s="2">
        <v>56130</v>
      </c>
      <c r="I18" s="2">
        <v>57002</v>
      </c>
      <c r="J18" s="2">
        <v>54763</v>
      </c>
      <c r="K18" s="2">
        <v>59504</v>
      </c>
      <c r="L18" s="2">
        <v>56566</v>
      </c>
      <c r="M18" s="2">
        <v>60488</v>
      </c>
      <c r="N18" s="2">
        <v>57645</v>
      </c>
      <c r="P18" s="2">
        <v>45763</v>
      </c>
      <c r="Q18" s="2">
        <v>43384</v>
      </c>
      <c r="R18" s="6">
        <v>22958</v>
      </c>
      <c r="S18" s="6">
        <v>22218</v>
      </c>
      <c r="T18" s="7">
        <v>41814</v>
      </c>
      <c r="U18" s="7">
        <v>39300</v>
      </c>
      <c r="V18" s="2">
        <v>46490</v>
      </c>
      <c r="W18" s="2">
        <v>46007</v>
      </c>
      <c r="X18" s="2">
        <v>45743</v>
      </c>
      <c r="Y18" s="2">
        <v>43777</v>
      </c>
      <c r="Z18" s="2">
        <v>45763</v>
      </c>
      <c r="AA18" s="2">
        <v>43384</v>
      </c>
      <c r="AB18" s="6">
        <v>36383</v>
      </c>
      <c r="AC18" s="6">
        <v>36281</v>
      </c>
      <c r="AD18" s="10">
        <v>54492</v>
      </c>
      <c r="AE18" s="10">
        <v>31907</v>
      </c>
      <c r="AF18" s="10">
        <v>96903</v>
      </c>
      <c r="AG18" s="10">
        <v>30643</v>
      </c>
      <c r="AH18" s="10">
        <v>56739</v>
      </c>
      <c r="AI18" s="10">
        <v>17942</v>
      </c>
    </row>
  </sheetData>
  <mergeCells count="17">
    <mergeCell ref="AF3:AG3"/>
    <mergeCell ref="AH3:AI3"/>
    <mergeCell ref="AD3:AE3"/>
    <mergeCell ref="E2:N2"/>
    <mergeCell ref="M3:N3"/>
    <mergeCell ref="K3:L3"/>
    <mergeCell ref="I3:J3"/>
    <mergeCell ref="G3:H3"/>
    <mergeCell ref="E3:F3"/>
    <mergeCell ref="AB3:AC3"/>
    <mergeCell ref="P2:AC2"/>
    <mergeCell ref="R3:S3"/>
    <mergeCell ref="T3:U3"/>
    <mergeCell ref="V3:W3"/>
    <mergeCell ref="X3:Y3"/>
    <mergeCell ref="Z3:AA3"/>
    <mergeCell ref="P3:Q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1.5세대 입력 음압 대비 ADC 출력 테이블</vt:lpstr>
      <vt:lpstr>Sound1 시료 측정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</dc:creator>
  <cp:lastModifiedBy>김은수</cp:lastModifiedBy>
  <dcterms:created xsi:type="dcterms:W3CDTF">2015-06-05T18:19:34Z</dcterms:created>
  <dcterms:modified xsi:type="dcterms:W3CDTF">2026-09-10T00:54:53Z</dcterms:modified>
</cp:coreProperties>
</file>